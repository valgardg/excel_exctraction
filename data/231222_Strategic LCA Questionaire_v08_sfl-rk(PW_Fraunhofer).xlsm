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DieseArbeitsmappe"/>
  <mc:AlternateContent xmlns:mc="http://schemas.openxmlformats.org/markup-compatibility/2006">
    <mc:Choice Requires="x15">
      <x15ac:absPath xmlns:x15ac="http://schemas.microsoft.com/office/spreadsheetml/2010/11/ac" url="/Users/valgardg/Desktop/fraunhofer/documents/"/>
    </mc:Choice>
  </mc:AlternateContent>
  <xr:revisionPtr revIDLastSave="0" documentId="13_ncr:1_{22AD486C-B45A-CE43-85F4-EE327838ED0E}" xr6:coauthVersionLast="47" xr6:coauthVersionMax="47" xr10:uidLastSave="{00000000-0000-0000-0000-000000000000}"/>
  <workbookProtection workbookAlgorithmName="SHA-512" workbookHashValue="Te/t1FF/J3tyoG/I5NyohZH9INtYUdBcizr6SnvrY98ATqAMP6QPKzv+Vzh0eWwsKHXoi/OF675vDTIOETikKA==" workbookSaltValue="ZjB2uS7MMuRIvzN6MWAESw==" workbookSpinCount="100000" lockStructure="1"/>
  <bookViews>
    <workbookView xWindow="0" yWindow="0" windowWidth="28800" windowHeight="18000" tabRatio="841" activeTab="1" xr2:uid="{3E69E93A-A678-4F3C-A518-A3B1629A7218}"/>
  </bookViews>
  <sheets>
    <sheet name="Introduction" sheetId="1" r:id="rId1"/>
    <sheet name="General Information" sheetId="3" r:id="rId2"/>
    <sheet name="Company owned Transport" sheetId="5" r:id="rId3"/>
    <sheet name="External Transportation" sheetId="6" r:id="rId4"/>
    <sheet name="Business Travel" sheetId="8" r:id="rId5"/>
    <sheet name="Stationary Combustion" sheetId="4" r:id="rId6"/>
    <sheet name="Purchased Gases &amp; Refrigerants" sheetId="9" r:id="rId7"/>
    <sheet name="Raw Material Usage" sheetId="20" r:id="rId8"/>
    <sheet name="Help - Raw Materials" sheetId="23" r:id="rId9"/>
    <sheet name="Waste Disposal" sheetId="10" r:id="rId10"/>
    <sheet name="Results" sheetId="14" state="hidden" r:id="rId11"/>
    <sheet name="Unit Conversions" sheetId="19" r:id="rId12"/>
    <sheet name="Further Information" sheetId="22" r:id="rId13"/>
    <sheet name="Raw Material Calculation" sheetId="21" state="hidden" r:id="rId14"/>
    <sheet name="Data" sheetId="12" state="hidden" r:id="rId15"/>
    <sheet name="Drop Down" sheetId="13" state="hidden" r:id="rId16"/>
  </sheets>
  <externalReferences>
    <externalReference r:id="rId17"/>
    <externalReference r:id="rId18"/>
    <externalReference r:id="rId19"/>
  </externalReferences>
  <definedNames>
    <definedName name="Biz_Travel_Fctr">'[1]Emission Factors'!$A$350:$D$361</definedName>
    <definedName name="BizTravel_Air">[1]DropDown!$O$2:$O$4</definedName>
    <definedName name="BizTravel_PassMiles">[1]DropDown!$N$2:$N$7</definedName>
    <definedName name="BizTravel_Vehicle">[1]DropDown!$M$2:$M$4</definedName>
    <definedName name="Carbon_Products">'Drop Down'!#REF!</definedName>
    <definedName name="CH4_GWP">'[1]Emission Factors'!$B$238</definedName>
    <definedName name="Diesel_Heavy_Trucks_CH4_N2O">'[1]Emission Factors'!$C$163:$E$164</definedName>
    <definedName name="Diesel_Lt_Trucks_CH4_N2O">'[1]Emission Factors'!$C$160:$E$162</definedName>
    <definedName name="Diesel_pass_CH4_N2O">'[1]Emission Factors'!$C$157:$E$159</definedName>
    <definedName name="eGRID_em_Fctrs">'[1]Emission Factors'!$A$319:$G$345</definedName>
    <definedName name="eGRID_Subregions">[1]DropDown!$K$2:$K$28</definedName>
    <definedName name="FireSupp_Equip">[1]DropDown!$H$2:$H$3</definedName>
    <definedName name="FireSupp_Gas">[1]DropDown!$I$2:$I$9</definedName>
    <definedName name="Fixed_FireLeakRate">'[1]Emission Factors'!$B$375</definedName>
    <definedName name="Fuel_Type">[1]DropDown!$R$2:$R$28</definedName>
    <definedName name="Gas_Heavy_Duty_CH4_N2O">'[1]Emission Factors'!$B$120:$D$151</definedName>
    <definedName name="Gas_Lt_Duty_Trucks_CH4_N2O">'[1]Emission Factors'!$B$89:$D$119</definedName>
    <definedName name="Gas_Motorcycle_CH4_N2O">'[1]Emission Factors'!$B$152:$D$154</definedName>
    <definedName name="Gas_Pass_Car_CH4_N2O">'[1]Emission Factors'!$B$58:$D$88</definedName>
    <definedName name="get_gasgperkm">[2]Reference!$E$196:$I$259</definedName>
    <definedName name="GHGs">[1]DropDown!$J$2:$J$56</definedName>
    <definedName name="GWP">'[1]Emission Factors'!$A$237:$B$309</definedName>
    <definedName name="Help_Navigation">[1]DropDown!$B$2:$B$14</definedName>
    <definedName name="kg_per_lb">'Unit Conversions'!$D$8</definedName>
    <definedName name="Landfill_Gas_scf_per_mmBtu">'[1]Heat Content'!$D$40</definedName>
    <definedName name="Landfill_Gas_scf_per_therm">'[1]Heat Content'!$D$41</definedName>
    <definedName name="Mass_Dropdown">[1]DropDown!$W$2:$W$6</definedName>
    <definedName name="Mobile_Avgas_CO2fctr">'[1]Emission Factors'!$B$47</definedName>
    <definedName name="Mobile_Biodiesel_CO2fctr">'[1]Emission Factors'!$B$51</definedName>
    <definedName name="Mobile_CNG_CO2fctr">'[1]Emission Factors'!$B$53</definedName>
    <definedName name="Mobile_diesel_CO2fctr">'[1]Emission Factors'!$B$45</definedName>
    <definedName name="Mobile_Ethanol_CO2fctr">'[1]Emission Factors'!$B$50</definedName>
    <definedName name="Mobile_FuelOil_CO2fctr">'[1]Emission Factors'!$B$46</definedName>
    <definedName name="Mobile_gas_CO2fctr">'[1]Emission Factors'!$B$44</definedName>
    <definedName name="Mobile_Jet_Fuel_CO2fctr">'[1]Emission Factors'!$B$48</definedName>
    <definedName name="Mobile_LNG_CO2fctr">'[1]Emission Factors'!$B$52</definedName>
    <definedName name="Mobile_LPG_CO2fctr">'[1]Emission Factors'!$B$49</definedName>
    <definedName name="N2O_GWP">'[1]Emission Factors'!$B$239</definedName>
    <definedName name="Natural_Gas_scf_per_mmBtu">'[1]Heat Content'!$D$7</definedName>
    <definedName name="Natural_Gas_scf_per_therm">'[1]Heat Content'!$D$9</definedName>
    <definedName name="Nonmetallic_Minerals">'Drop Down'!#REF!</definedName>
    <definedName name="Plants">'General Information'!$C$18:INDEX('General Information'!$C$18:$C$44,COUNTA('General Information'!$C$18:$C$44))</definedName>
    <definedName name="Plastics_and_Rubber">'Drop Down'!#REF!</definedName>
    <definedName name="Portable_FireLeakRate">'[1]Emission Factors'!$B$376</definedName>
    <definedName name="Primary_Metals">[3]Tabelle1!$N$2:$N$35</definedName>
    <definedName name="Prod_Trans_TonMiles">[1]DropDown!$Q$2:$Q$5</definedName>
    <definedName name="Prod_Trans_VehicleMiles">[1]DropDown!$P$2:$P$4</definedName>
    <definedName name="Prod_TransTM_fctrs">'[1]Emission Factors'!$A$368:$D$371</definedName>
    <definedName name="Prod_TransVM_Fctrs">'[1]Emission Factors'!$A$365:$D$367</definedName>
    <definedName name="Propane_Gas_scf_per_mmBtu">'[1]Heat Content'!$D$38</definedName>
    <definedName name="Propane_Gas_scf_per_therm">'[1]Heat Content'!$D$39</definedName>
    <definedName name="Refrig">[1]DropDown!$G$2:$G$48</definedName>
    <definedName name="Refrig_Equip">[1]DropDown!$F$2:$F$10</definedName>
    <definedName name="SelectMat">_xlfn.IFS('Raw Material Usage'!#REF!="Plastics and Rubber",'Drop Down'!#REF!,'Raw Material Usage'!#REF!="Carbon Products",'Drop Down'!#REF!,'Raw Material Usage'!#REF!="Primary Metals",[3]Tabelle1!$N$2:$N$35,'Raw Material Usage'!#REF!="Nonmetallic MInerals",'Drop Down'!#REF!)</definedName>
    <definedName name="Stationary_Fuel_Fctrs_mmBtu">'[1]Emission Factors'!$A$12:$D$39</definedName>
    <definedName name="Stationary_Fuel_Fctrs_unit">'[1]Emission Factors'!$A$12:$G$39</definedName>
    <definedName name="Steam_Fuel_Type">[1]DropDown!$L$2:$L$14</definedName>
    <definedName name="Tab_navigation">[1]DropDown!$A$2:$A$13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5" i="3" l="1"/>
  <c r="G45" i="3"/>
  <c r="F13" i="4"/>
  <c r="F14" i="4"/>
  <c r="F15" i="4"/>
  <c r="F16" i="4"/>
  <c r="F17" i="4"/>
  <c r="F18" i="4"/>
  <c r="F19" i="4"/>
  <c r="F20" i="4"/>
  <c r="F21" i="4"/>
  <c r="F22" i="4"/>
  <c r="F23" i="4"/>
  <c r="F24" i="4"/>
  <c r="F25" i="4"/>
  <c r="F26" i="4"/>
  <c r="F27" i="4"/>
  <c r="F28" i="4"/>
  <c r="F29" i="4"/>
  <c r="F30" i="4"/>
  <c r="F31" i="4"/>
  <c r="F32" i="4"/>
  <c r="F33" i="4"/>
  <c r="F34" i="4"/>
  <c r="F35" i="4"/>
  <c r="F36" i="4"/>
  <c r="F37" i="4"/>
  <c r="F38" i="4"/>
  <c r="F12" i="4"/>
  <c r="B16" i="5"/>
  <c r="B43" i="20"/>
  <c r="B44" i="20"/>
  <c r="B45" i="20"/>
  <c r="B46" i="20"/>
  <c r="B47" i="20"/>
  <c r="B48" i="20"/>
  <c r="B42" i="20"/>
  <c r="AW38" i="14"/>
  <c r="AW39" i="14"/>
  <c r="AW40" i="14"/>
  <c r="AW41" i="14"/>
  <c r="AW42"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7" i="14"/>
  <c r="V39" i="14"/>
  <c r="V40" i="14"/>
  <c r="V41" i="14"/>
  <c r="V42" i="14"/>
  <c r="V43" i="14"/>
  <c r="V44" i="14"/>
  <c r="V45" i="14"/>
  <c r="V46" i="14"/>
  <c r="V47" i="14"/>
  <c r="V48" i="14"/>
  <c r="V49" i="14"/>
  <c r="V50" i="14"/>
  <c r="V51" i="14"/>
  <c r="V52" i="14"/>
  <c r="V53" i="14"/>
  <c r="V54" i="14"/>
  <c r="V55" i="14"/>
  <c r="V56" i="14"/>
  <c r="V57" i="14"/>
  <c r="V58" i="14"/>
  <c r="V59" i="14"/>
  <c r="V60" i="14"/>
  <c r="V61" i="14"/>
  <c r="V62" i="14"/>
  <c r="V63" i="14"/>
  <c r="V64" i="14"/>
  <c r="U39" i="14"/>
  <c r="U40" i="14"/>
  <c r="U41" i="14"/>
  <c r="U42" i="14"/>
  <c r="U43" i="14"/>
  <c r="U44" i="14"/>
  <c r="U45" i="14"/>
  <c r="U46" i="14"/>
  <c r="U47" i="14"/>
  <c r="U48" i="14"/>
  <c r="U49" i="14"/>
  <c r="U50" i="14"/>
  <c r="U51" i="14"/>
  <c r="U52" i="14"/>
  <c r="U53" i="14"/>
  <c r="U54" i="14"/>
  <c r="U55" i="14"/>
  <c r="U56" i="14"/>
  <c r="U57" i="14"/>
  <c r="U58" i="14"/>
  <c r="U59" i="14"/>
  <c r="U60" i="14"/>
  <c r="U61" i="14"/>
  <c r="U62" i="14"/>
  <c r="U63" i="14"/>
  <c r="U64" i="14"/>
  <c r="T39" i="14"/>
  <c r="T40" i="14"/>
  <c r="T41" i="14"/>
  <c r="T42" i="14"/>
  <c r="T43" i="14"/>
  <c r="T44" i="14"/>
  <c r="T45" i="14"/>
  <c r="T46" i="14"/>
  <c r="T47" i="14"/>
  <c r="T48" i="14"/>
  <c r="T49" i="14"/>
  <c r="T50" i="14"/>
  <c r="T51" i="14"/>
  <c r="T52" i="14"/>
  <c r="T53" i="14"/>
  <c r="T54" i="14"/>
  <c r="T55" i="14"/>
  <c r="T56" i="14"/>
  <c r="T57" i="14"/>
  <c r="T58" i="14"/>
  <c r="T59" i="14"/>
  <c r="T60" i="14"/>
  <c r="T61" i="14"/>
  <c r="T62" i="14"/>
  <c r="T63" i="14"/>
  <c r="T64" i="14"/>
  <c r="V38" i="14"/>
  <c r="U38" i="14"/>
  <c r="T38" i="14"/>
  <c r="B38"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12" i="20"/>
  <c r="B14" i="8"/>
  <c r="B15" i="8"/>
  <c r="B16" i="8"/>
  <c r="B17" i="8"/>
  <c r="B18" i="8"/>
  <c r="B19" i="8"/>
  <c r="B20" i="8"/>
  <c r="B21" i="8"/>
  <c r="B22" i="8"/>
  <c r="B23" i="8"/>
  <c r="B24" i="8"/>
  <c r="B25" i="8"/>
  <c r="B26" i="8"/>
  <c r="B27" i="8"/>
  <c r="B28" i="8"/>
  <c r="B29" i="8"/>
  <c r="B30" i="8"/>
  <c r="B31" i="8"/>
  <c r="B32" i="8"/>
  <c r="B33" i="8"/>
  <c r="B34" i="8"/>
  <c r="B35" i="8"/>
  <c r="B36" i="8"/>
  <c r="B37" i="8"/>
  <c r="B38" i="8"/>
  <c r="B39" i="8"/>
  <c r="B13" i="8"/>
  <c r="B13" i="6"/>
  <c r="B14" i="6"/>
  <c r="B15" i="6"/>
  <c r="B16" i="6"/>
  <c r="B17" i="6"/>
  <c r="B18" i="6"/>
  <c r="B19" i="6"/>
  <c r="B20" i="6"/>
  <c r="B21" i="6"/>
  <c r="B22" i="6"/>
  <c r="B23" i="6"/>
  <c r="B24" i="6"/>
  <c r="B25" i="6"/>
  <c r="B26" i="6"/>
  <c r="B27" i="6"/>
  <c r="B28" i="6"/>
  <c r="B29" i="6"/>
  <c r="B30" i="6"/>
  <c r="B31" i="6"/>
  <c r="B32" i="6"/>
  <c r="B33" i="6"/>
  <c r="B34" i="6"/>
  <c r="B35" i="6"/>
  <c r="B36" i="6"/>
  <c r="B37" i="6"/>
  <c r="B38" i="6"/>
  <c r="B12" i="6"/>
  <c r="B43" i="10"/>
  <c r="B44" i="10"/>
  <c r="B45" i="10"/>
  <c r="B46" i="10"/>
  <c r="B42" i="10"/>
  <c r="B13" i="10"/>
  <c r="B14" i="10"/>
  <c r="B15" i="10"/>
  <c r="B16" i="10"/>
  <c r="B17" i="10"/>
  <c r="B18" i="10"/>
  <c r="B19" i="10"/>
  <c r="B20" i="10"/>
  <c r="B21" i="10"/>
  <c r="B22" i="10"/>
  <c r="B23" i="10"/>
  <c r="B24" i="10"/>
  <c r="B25" i="10"/>
  <c r="B26" i="10"/>
  <c r="B27" i="10"/>
  <c r="B28" i="10"/>
  <c r="B29" i="10"/>
  <c r="B30" i="10"/>
  <c r="B31" i="10"/>
  <c r="B32" i="10"/>
  <c r="AT27" i="14" s="1"/>
  <c r="B33" i="10"/>
  <c r="AT28" i="14" s="1"/>
  <c r="B34" i="10"/>
  <c r="AT29" i="14" s="1"/>
  <c r="B35" i="10"/>
  <c r="AT30" i="14" s="1"/>
  <c r="B36" i="10"/>
  <c r="AT31" i="14" s="1"/>
  <c r="B37" i="10"/>
  <c r="AT32" i="14" s="1"/>
  <c r="B38" i="10"/>
  <c r="AT33" i="14" s="1"/>
  <c r="B12" i="10"/>
  <c r="L16" i="9"/>
  <c r="L17" i="9"/>
  <c r="L18" i="9"/>
  <c r="L19" i="9"/>
  <c r="L20" i="9"/>
  <c r="L21" i="9"/>
  <c r="L22" i="9"/>
  <c r="L23" i="9"/>
  <c r="L24" i="9"/>
  <c r="L25" i="9"/>
  <c r="L26" i="9"/>
  <c r="L27" i="9"/>
  <c r="L28" i="9"/>
  <c r="L29" i="9"/>
  <c r="L30" i="9"/>
  <c r="L31" i="9"/>
  <c r="L32" i="9"/>
  <c r="L33" i="9"/>
  <c r="L34" i="9"/>
  <c r="L35" i="9"/>
  <c r="L36" i="9"/>
  <c r="L37" i="9"/>
  <c r="L38" i="9"/>
  <c r="L39" i="9"/>
  <c r="L40" i="9"/>
  <c r="L41" i="9"/>
  <c r="L15" i="9"/>
  <c r="B16" i="9"/>
  <c r="B17" i="9"/>
  <c r="B18" i="9"/>
  <c r="B19" i="9"/>
  <c r="B20" i="9"/>
  <c r="B21" i="9"/>
  <c r="B22" i="9"/>
  <c r="B23" i="9"/>
  <c r="B24" i="9"/>
  <c r="B25" i="9"/>
  <c r="B26" i="9"/>
  <c r="B27" i="9"/>
  <c r="B28" i="9"/>
  <c r="B29" i="9"/>
  <c r="B30" i="9"/>
  <c r="B31" i="9"/>
  <c r="B32" i="9"/>
  <c r="B33" i="9"/>
  <c r="B34" i="9"/>
  <c r="B35" i="9"/>
  <c r="B36" i="9"/>
  <c r="B37" i="9"/>
  <c r="B38" i="9"/>
  <c r="B39" i="9"/>
  <c r="B40" i="9"/>
  <c r="B41" i="9"/>
  <c r="B15" i="9"/>
  <c r="G16" i="9"/>
  <c r="G17" i="9"/>
  <c r="G18" i="9"/>
  <c r="G19" i="9"/>
  <c r="G20" i="9"/>
  <c r="G21" i="9"/>
  <c r="G22" i="9"/>
  <c r="G23" i="9"/>
  <c r="G24" i="9"/>
  <c r="G25" i="9"/>
  <c r="G26" i="9"/>
  <c r="G27" i="9"/>
  <c r="G28" i="9"/>
  <c r="G29" i="9"/>
  <c r="G30" i="9"/>
  <c r="G31" i="9"/>
  <c r="G32" i="9"/>
  <c r="G33" i="9"/>
  <c r="G34" i="9"/>
  <c r="G35" i="9"/>
  <c r="G36" i="9"/>
  <c r="G37" i="9"/>
  <c r="G38" i="9"/>
  <c r="G39" i="9"/>
  <c r="G40" i="9"/>
  <c r="G41" i="9"/>
  <c r="G15" i="9"/>
  <c r="B13" i="4"/>
  <c r="B14" i="4"/>
  <c r="B15" i="4"/>
  <c r="B16" i="4"/>
  <c r="B17" i="4"/>
  <c r="B18" i="4"/>
  <c r="B19" i="4"/>
  <c r="B20" i="4"/>
  <c r="B21" i="4"/>
  <c r="B22" i="4"/>
  <c r="B23" i="4"/>
  <c r="B24" i="4"/>
  <c r="B25" i="4"/>
  <c r="B26" i="4"/>
  <c r="B27" i="4"/>
  <c r="B28" i="4"/>
  <c r="B29" i="4"/>
  <c r="B30" i="4"/>
  <c r="B31" i="4"/>
  <c r="B32" i="4"/>
  <c r="B33" i="4"/>
  <c r="B34" i="4"/>
  <c r="B35" i="4"/>
  <c r="B36" i="4"/>
  <c r="B37" i="4"/>
  <c r="B38" i="4"/>
  <c r="B12" i="4"/>
  <c r="B13" i="5"/>
  <c r="B14" i="5"/>
  <c r="B15" i="5"/>
  <c r="B17" i="5"/>
  <c r="B18" i="5"/>
  <c r="B19" i="5"/>
  <c r="B20" i="5"/>
  <c r="B21" i="5"/>
  <c r="B22" i="5"/>
  <c r="B23" i="5"/>
  <c r="B24" i="5"/>
  <c r="B25" i="5"/>
  <c r="B26" i="5"/>
  <c r="B27" i="5"/>
  <c r="B28" i="5"/>
  <c r="B29" i="5"/>
  <c r="B30" i="5"/>
  <c r="B31" i="5"/>
  <c r="B32" i="5"/>
  <c r="B33" i="5"/>
  <c r="B34" i="5"/>
  <c r="B35" i="5"/>
  <c r="B36" i="5"/>
  <c r="B37" i="5"/>
  <c r="B38" i="5"/>
  <c r="B12" i="5"/>
  <c r="F12" i="5"/>
  <c r="F13" i="5"/>
  <c r="F14" i="5"/>
  <c r="F15" i="5"/>
  <c r="F16" i="5"/>
  <c r="F17" i="5"/>
  <c r="F18" i="5"/>
  <c r="F19" i="5"/>
  <c r="AW8" i="14"/>
  <c r="AW9" i="14"/>
  <c r="AW10" i="14"/>
  <c r="AW11" i="14"/>
  <c r="AW12" i="14"/>
  <c r="AW13" i="14"/>
  <c r="AW14" i="14"/>
  <c r="AW15" i="14"/>
  <c r="AW16" i="14"/>
  <c r="AW17" i="14"/>
  <c r="AW18" i="14"/>
  <c r="AW19" i="14"/>
  <c r="AW20" i="14"/>
  <c r="AW21" i="14"/>
  <c r="AW22" i="14"/>
  <c r="AW23" i="14"/>
  <c r="AW34" i="14" s="1"/>
  <c r="AW24" i="14"/>
  <c r="AW25" i="14"/>
  <c r="AW26" i="14"/>
  <c r="AW27" i="14"/>
  <c r="AW28" i="14"/>
  <c r="AW29" i="14"/>
  <c r="AW30" i="14"/>
  <c r="AW31" i="14"/>
  <c r="AW32" i="14"/>
  <c r="AW33" i="14"/>
  <c r="AW7" i="14"/>
  <c r="AR8" i="14"/>
  <c r="AR9" i="14"/>
  <c r="AR10" i="14"/>
  <c r="AR11" i="14"/>
  <c r="AR34" i="14" s="1"/>
  <c r="AR12" i="14"/>
  <c r="AR13" i="14"/>
  <c r="AR14" i="14"/>
  <c r="AR15" i="14"/>
  <c r="AR16" i="14"/>
  <c r="AR17" i="14"/>
  <c r="AR18" i="14"/>
  <c r="AR19" i="14"/>
  <c r="AR20" i="14"/>
  <c r="AR21" i="14"/>
  <c r="AR22" i="14"/>
  <c r="AR23" i="14"/>
  <c r="AR24" i="14"/>
  <c r="AR25" i="14"/>
  <c r="AR26" i="14"/>
  <c r="AR27" i="14"/>
  <c r="AR28" i="14"/>
  <c r="AR29" i="14"/>
  <c r="AR30" i="14"/>
  <c r="AR31" i="14"/>
  <c r="AR32" i="14"/>
  <c r="AR33" i="14"/>
  <c r="AR7" i="14"/>
  <c r="AM8" i="14"/>
  <c r="AM9" i="14"/>
  <c r="AM10" i="14"/>
  <c r="AM11" i="14"/>
  <c r="AM12" i="14"/>
  <c r="AM13" i="14"/>
  <c r="AM14" i="14"/>
  <c r="AM15" i="14"/>
  <c r="AM16" i="14"/>
  <c r="AM17" i="14"/>
  <c r="AM18" i="14"/>
  <c r="AM19" i="14"/>
  <c r="AM20" i="14"/>
  <c r="AM21" i="14"/>
  <c r="AM22" i="14"/>
  <c r="AM23" i="14"/>
  <c r="AM24" i="14"/>
  <c r="AM25" i="14"/>
  <c r="AM26" i="14"/>
  <c r="AM27" i="14"/>
  <c r="AM28" i="14"/>
  <c r="AM29" i="14"/>
  <c r="AM30" i="14"/>
  <c r="AM31" i="14"/>
  <c r="AM32" i="14"/>
  <c r="AM33" i="14"/>
  <c r="AM7" i="14"/>
  <c r="AH8" i="14"/>
  <c r="AH9" i="14"/>
  <c r="AH10" i="14"/>
  <c r="AH11" i="14"/>
  <c r="AH12" i="14"/>
  <c r="AH13" i="14"/>
  <c r="AH14" i="14"/>
  <c r="AH15" i="14"/>
  <c r="AH16" i="14"/>
  <c r="AH17" i="14"/>
  <c r="AH18" i="14"/>
  <c r="AH19" i="14"/>
  <c r="AH20" i="14"/>
  <c r="AH21" i="14"/>
  <c r="AH22" i="14"/>
  <c r="AH23" i="14"/>
  <c r="AH24" i="14"/>
  <c r="AH25" i="14"/>
  <c r="AH26" i="14"/>
  <c r="AH27" i="14"/>
  <c r="AH28" i="14"/>
  <c r="AH29" i="14"/>
  <c r="AH30" i="14"/>
  <c r="AH31" i="14"/>
  <c r="AH32" i="14"/>
  <c r="AH33" i="14"/>
  <c r="AH7" i="14"/>
  <c r="AH34" i="14" s="1"/>
  <c r="AE96" i="14"/>
  <c r="AE71" i="14"/>
  <c r="AE72" i="14"/>
  <c r="AE73" i="14"/>
  <c r="AE74" i="14"/>
  <c r="AE75" i="14"/>
  <c r="AE76" i="14"/>
  <c r="AE77" i="14"/>
  <c r="AE78" i="14"/>
  <c r="AE79" i="14"/>
  <c r="AE80" i="14"/>
  <c r="AE81" i="14"/>
  <c r="AE82" i="14"/>
  <c r="AE83" i="14"/>
  <c r="AE84" i="14"/>
  <c r="AE85" i="14"/>
  <c r="AE86" i="14"/>
  <c r="AE87" i="14"/>
  <c r="AE88" i="14"/>
  <c r="AE89" i="14"/>
  <c r="AE90" i="14"/>
  <c r="AE91" i="14"/>
  <c r="AE92" i="14"/>
  <c r="AE93" i="14"/>
  <c r="AE94" i="14"/>
  <c r="AE95" i="14"/>
  <c r="AE70"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38"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7"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F38" i="14"/>
  <c r="E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38" i="14"/>
  <c r="H39" i="14"/>
  <c r="H40" i="14"/>
  <c r="H41" i="14"/>
  <c r="H42" i="14"/>
  <c r="H43" i="14"/>
  <c r="H44" i="14"/>
  <c r="H45" i="14"/>
  <c r="H46" i="14"/>
  <c r="H47" i="14"/>
  <c r="H48" i="14"/>
  <c r="H49" i="14"/>
  <c r="H50" i="14"/>
  <c r="H51" i="14"/>
  <c r="H52" i="14"/>
  <c r="H53" i="14"/>
  <c r="H54" i="14"/>
  <c r="H55" i="14"/>
  <c r="H56" i="14"/>
  <c r="H57" i="14"/>
  <c r="H58" i="14"/>
  <c r="H59" i="14"/>
  <c r="H60" i="14"/>
  <c r="H61" i="14"/>
  <c r="H62" i="14"/>
  <c r="H63" i="14"/>
  <c r="H64"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38" i="14"/>
  <c r="P39" i="14"/>
  <c r="P40" i="14"/>
  <c r="P41" i="14"/>
  <c r="P42" i="14"/>
  <c r="P43" i="14"/>
  <c r="P44" i="14"/>
  <c r="P45" i="14"/>
  <c r="P46" i="14"/>
  <c r="P47" i="14"/>
  <c r="P48" i="14"/>
  <c r="P49" i="14"/>
  <c r="P50" i="14"/>
  <c r="P51" i="14"/>
  <c r="P52" i="14"/>
  <c r="P53" i="14"/>
  <c r="P54" i="14"/>
  <c r="P55" i="14"/>
  <c r="P56" i="14"/>
  <c r="P57" i="14"/>
  <c r="P58" i="14"/>
  <c r="P59" i="14"/>
  <c r="P60" i="14"/>
  <c r="P61" i="14"/>
  <c r="P62" i="14"/>
  <c r="P63" i="14"/>
  <c r="P64" i="14"/>
  <c r="P38" i="14"/>
  <c r="P65" i="14" s="1"/>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F20" i="5"/>
  <c r="F21" i="5"/>
  <c r="F23" i="5"/>
  <c r="F24" i="5"/>
  <c r="F25" i="5"/>
  <c r="F26" i="5"/>
  <c r="F27" i="5"/>
  <c r="F28" i="5"/>
  <c r="F29" i="5"/>
  <c r="F30" i="5"/>
  <c r="F31" i="5"/>
  <c r="F32" i="5"/>
  <c r="F33" i="5"/>
  <c r="F34" i="5"/>
  <c r="F35" i="5"/>
  <c r="F36" i="5"/>
  <c r="F37" i="5"/>
  <c r="F38" i="5"/>
  <c r="AR39" i="14"/>
  <c r="AR40" i="14"/>
  <c r="AR41" i="14"/>
  <c r="AR42" i="14"/>
  <c r="AR43" i="14"/>
  <c r="AR44" i="14"/>
  <c r="AR45" i="14"/>
  <c r="AR46" i="14"/>
  <c r="AR47" i="14"/>
  <c r="AR48" i="14"/>
  <c r="AR49" i="14"/>
  <c r="AR50" i="14"/>
  <c r="AR51" i="14"/>
  <c r="AR52" i="14"/>
  <c r="AR53" i="14"/>
  <c r="AR54" i="14"/>
  <c r="AR55" i="14"/>
  <c r="AR56" i="14"/>
  <c r="AR57" i="14"/>
  <c r="AR58" i="14"/>
  <c r="AR59" i="14"/>
  <c r="AR60" i="14"/>
  <c r="AR61" i="14"/>
  <c r="AR62" i="14"/>
  <c r="AR63" i="14"/>
  <c r="AR64" i="14"/>
  <c r="AR38" i="14"/>
  <c r="AR65" i="14" s="1"/>
  <c r="D455" i="21"/>
  <c r="B455" i="21"/>
  <c r="D438" i="21"/>
  <c r="B438" i="21"/>
  <c r="D421" i="21"/>
  <c r="B421" i="21"/>
  <c r="D404" i="21"/>
  <c r="B404" i="21"/>
  <c r="D387" i="21"/>
  <c r="B387" i="21"/>
  <c r="D370" i="21"/>
  <c r="B370" i="21"/>
  <c r="D353" i="21"/>
  <c r="B353" i="21"/>
  <c r="D336" i="21"/>
  <c r="B336" i="21"/>
  <c r="D319" i="21"/>
  <c r="B319" i="21"/>
  <c r="D302" i="21"/>
  <c r="B302" i="21"/>
  <c r="D285" i="21"/>
  <c r="B285" i="21"/>
  <c r="D268" i="21"/>
  <c r="B268" i="21"/>
  <c r="D251" i="21"/>
  <c r="B251" i="21"/>
  <c r="D234" i="21"/>
  <c r="B234" i="21"/>
  <c r="D217" i="21"/>
  <c r="B217" i="21"/>
  <c r="D200" i="21"/>
  <c r="B200" i="21"/>
  <c r="D183" i="21"/>
  <c r="B183" i="21"/>
  <c r="D166" i="21"/>
  <c r="D149" i="21"/>
  <c r="B166" i="21"/>
  <c r="B149" i="21"/>
  <c r="D132" i="21"/>
  <c r="B132" i="21"/>
  <c r="D115" i="21"/>
  <c r="B115" i="21"/>
  <c r="D98" i="21"/>
  <c r="B98" i="21"/>
  <c r="D81" i="21"/>
  <c r="B81" i="21"/>
  <c r="D64" i="21"/>
  <c r="B64" i="21"/>
  <c r="D47" i="21"/>
  <c r="B47" i="21"/>
  <c r="D30" i="21"/>
  <c r="B30" i="21"/>
  <c r="D13" i="21"/>
  <c r="B13" i="21"/>
  <c r="AU8" i="14"/>
  <c r="AU9" i="14"/>
  <c r="AU10" i="14"/>
  <c r="AU11" i="14"/>
  <c r="AU12" i="14"/>
  <c r="AU13" i="14"/>
  <c r="AU14" i="14"/>
  <c r="AU15" i="14"/>
  <c r="AU16" i="14"/>
  <c r="AU17" i="14"/>
  <c r="AU18" i="14"/>
  <c r="AU19" i="14"/>
  <c r="AU20" i="14"/>
  <c r="AU21" i="14"/>
  <c r="AU22" i="14"/>
  <c r="AU23" i="14"/>
  <c r="AU24" i="14"/>
  <c r="AU25" i="14"/>
  <c r="AU26" i="14"/>
  <c r="AU27" i="14"/>
  <c r="AU28" i="14"/>
  <c r="AU29" i="14"/>
  <c r="AU30" i="14"/>
  <c r="AU31" i="14"/>
  <c r="AU32" i="14"/>
  <c r="AU33" i="14"/>
  <c r="AC65" i="14" l="1"/>
  <c r="X65" i="14"/>
  <c r="H38" i="14"/>
  <c r="H65" i="14" s="1"/>
  <c r="AP8" i="14" l="1"/>
  <c r="AP9" i="14"/>
  <c r="AP10" i="14"/>
  <c r="AP11" i="14"/>
  <c r="AP12" i="14"/>
  <c r="AP13" i="14"/>
  <c r="AP14" i="14"/>
  <c r="AP15" i="14"/>
  <c r="AP16" i="14"/>
  <c r="AP17" i="14"/>
  <c r="AP18" i="14"/>
  <c r="AP19" i="14"/>
  <c r="AP20" i="14"/>
  <c r="AP21" i="14"/>
  <c r="AP22" i="14"/>
  <c r="AP23" i="14"/>
  <c r="AP24" i="14"/>
  <c r="AP25" i="14"/>
  <c r="AP26" i="14"/>
  <c r="AP27" i="14"/>
  <c r="AP28" i="14"/>
  <c r="AP29" i="14"/>
  <c r="AP30" i="14"/>
  <c r="AP31" i="14"/>
  <c r="AP32" i="14"/>
  <c r="AP33" i="14"/>
  <c r="AP34" i="14"/>
  <c r="AP7" i="14"/>
  <c r="P7" i="14"/>
  <c r="P34" i="14" s="1"/>
  <c r="AJ4" i="14" l="1"/>
  <c r="I455" i="21"/>
  <c r="J468" i="21"/>
  <c r="J467" i="21"/>
  <c r="J466" i="21"/>
  <c r="J465" i="21"/>
  <c r="J464" i="21"/>
  <c r="J463" i="21"/>
  <c r="J462" i="21"/>
  <c r="J461" i="21"/>
  <c r="J460" i="21"/>
  <c r="J459" i="21"/>
  <c r="J458" i="21"/>
  <c r="J457" i="21"/>
  <c r="J451" i="21"/>
  <c r="J450" i="21"/>
  <c r="J449" i="21"/>
  <c r="J448" i="21"/>
  <c r="J447" i="21"/>
  <c r="J446" i="21"/>
  <c r="J445" i="21"/>
  <c r="J444" i="21"/>
  <c r="J443" i="21"/>
  <c r="J442" i="21"/>
  <c r="J441" i="21"/>
  <c r="J440" i="21"/>
  <c r="J434" i="21"/>
  <c r="J433" i="21"/>
  <c r="J432" i="21"/>
  <c r="J431" i="21"/>
  <c r="J430" i="21"/>
  <c r="J429" i="21"/>
  <c r="J428" i="21"/>
  <c r="J427" i="21"/>
  <c r="J426" i="21"/>
  <c r="J425" i="21"/>
  <c r="J424" i="21"/>
  <c r="J423" i="21"/>
  <c r="J417" i="21"/>
  <c r="J416" i="21"/>
  <c r="J415" i="21"/>
  <c r="J414" i="21"/>
  <c r="J413" i="21"/>
  <c r="J412" i="21"/>
  <c r="J411" i="21"/>
  <c r="J410" i="21"/>
  <c r="J409" i="21"/>
  <c r="J408" i="21"/>
  <c r="J407" i="21"/>
  <c r="J406" i="21"/>
  <c r="J400" i="21"/>
  <c r="J399" i="21"/>
  <c r="J398" i="21"/>
  <c r="J397" i="21"/>
  <c r="J396" i="21"/>
  <c r="J395" i="21"/>
  <c r="J394" i="21"/>
  <c r="J393" i="21"/>
  <c r="J392" i="21"/>
  <c r="J391" i="21"/>
  <c r="J390" i="21"/>
  <c r="J389" i="21"/>
  <c r="J383" i="21"/>
  <c r="J382" i="21"/>
  <c r="J381" i="21"/>
  <c r="J380" i="21"/>
  <c r="J379" i="21"/>
  <c r="J378" i="21"/>
  <c r="J377" i="21"/>
  <c r="J376" i="21"/>
  <c r="J375" i="21"/>
  <c r="J374" i="21"/>
  <c r="J373" i="21"/>
  <c r="J372" i="21"/>
  <c r="J366" i="21"/>
  <c r="J365" i="21"/>
  <c r="J364" i="21"/>
  <c r="J363" i="21"/>
  <c r="J362" i="21"/>
  <c r="J361" i="21"/>
  <c r="J360" i="21"/>
  <c r="J359" i="21"/>
  <c r="J358" i="21"/>
  <c r="J357" i="21"/>
  <c r="J356" i="21"/>
  <c r="J355" i="21"/>
  <c r="J349" i="21"/>
  <c r="J348" i="21"/>
  <c r="J347" i="21"/>
  <c r="J346" i="21"/>
  <c r="J345" i="21"/>
  <c r="J344" i="21"/>
  <c r="J343" i="21"/>
  <c r="J342" i="21"/>
  <c r="J341" i="21"/>
  <c r="J340" i="21"/>
  <c r="J339" i="21"/>
  <c r="J338" i="21"/>
  <c r="J350" i="21" s="1"/>
  <c r="J332" i="21"/>
  <c r="J331" i="21"/>
  <c r="J330" i="21"/>
  <c r="J329" i="21"/>
  <c r="J328" i="21"/>
  <c r="J327" i="21"/>
  <c r="J326" i="21"/>
  <c r="J325" i="21"/>
  <c r="J324" i="21"/>
  <c r="J323" i="21"/>
  <c r="J322" i="21"/>
  <c r="J321" i="21"/>
  <c r="J315" i="21"/>
  <c r="J314" i="21"/>
  <c r="J313" i="21"/>
  <c r="J312" i="21"/>
  <c r="J311" i="21"/>
  <c r="J310" i="21"/>
  <c r="J309" i="21"/>
  <c r="J308" i="21"/>
  <c r="J307" i="21"/>
  <c r="J306" i="21"/>
  <c r="J305" i="21"/>
  <c r="J304" i="21"/>
  <c r="J298" i="21"/>
  <c r="J297" i="21"/>
  <c r="J296" i="21"/>
  <c r="J295" i="21"/>
  <c r="J294" i="21"/>
  <c r="J293" i="21"/>
  <c r="J292" i="21"/>
  <c r="J291" i="21"/>
  <c r="J290" i="21"/>
  <c r="J289" i="21"/>
  <c r="J288" i="21"/>
  <c r="J287" i="21"/>
  <c r="J281" i="21"/>
  <c r="J280" i="21"/>
  <c r="J279" i="21"/>
  <c r="J278" i="21"/>
  <c r="J277" i="21"/>
  <c r="J276" i="21"/>
  <c r="J275" i="21"/>
  <c r="J274" i="21"/>
  <c r="J273" i="21"/>
  <c r="J272" i="21"/>
  <c r="J271" i="21"/>
  <c r="J270" i="21"/>
  <c r="J264" i="21"/>
  <c r="J263" i="21"/>
  <c r="J262" i="21"/>
  <c r="J261" i="21"/>
  <c r="J260" i="21"/>
  <c r="J259" i="21"/>
  <c r="J258" i="21"/>
  <c r="J257" i="21"/>
  <c r="J256" i="21"/>
  <c r="J255" i="21"/>
  <c r="J254" i="21"/>
  <c r="J253" i="21"/>
  <c r="J247" i="21"/>
  <c r="J246" i="21"/>
  <c r="J245" i="21"/>
  <c r="J244" i="21"/>
  <c r="J243" i="21"/>
  <c r="J242" i="21"/>
  <c r="J241" i="21"/>
  <c r="J240" i="21"/>
  <c r="J239" i="21"/>
  <c r="J238" i="21"/>
  <c r="J237" i="21"/>
  <c r="J236" i="21"/>
  <c r="J230" i="21"/>
  <c r="J229" i="21"/>
  <c r="J228" i="21"/>
  <c r="J227" i="21"/>
  <c r="J226" i="21"/>
  <c r="J225" i="21"/>
  <c r="J224" i="21"/>
  <c r="J223" i="21"/>
  <c r="J222" i="21"/>
  <c r="J221" i="21"/>
  <c r="J220" i="21"/>
  <c r="J219" i="21"/>
  <c r="J213" i="21"/>
  <c r="J212" i="21"/>
  <c r="J211" i="21"/>
  <c r="J210" i="21"/>
  <c r="J209" i="21"/>
  <c r="J208" i="21"/>
  <c r="J207" i="21"/>
  <c r="J206" i="21"/>
  <c r="J205" i="21"/>
  <c r="J204" i="21"/>
  <c r="J203" i="21"/>
  <c r="J202" i="21"/>
  <c r="J196" i="21"/>
  <c r="J195" i="21"/>
  <c r="J194" i="21"/>
  <c r="J193" i="21"/>
  <c r="J192" i="21"/>
  <c r="J191" i="21"/>
  <c r="J190" i="21"/>
  <c r="J189" i="21"/>
  <c r="J188" i="21"/>
  <c r="J187" i="21"/>
  <c r="J186" i="21"/>
  <c r="J185" i="21"/>
  <c r="J179" i="21"/>
  <c r="J178" i="21"/>
  <c r="J177" i="21"/>
  <c r="J176" i="21"/>
  <c r="J175" i="21"/>
  <c r="J174" i="21"/>
  <c r="J173" i="21"/>
  <c r="J172" i="21"/>
  <c r="J171" i="21"/>
  <c r="J170" i="21"/>
  <c r="J169" i="21"/>
  <c r="J168" i="21"/>
  <c r="J162" i="21"/>
  <c r="J161" i="21"/>
  <c r="J160" i="21"/>
  <c r="J159" i="21"/>
  <c r="J158" i="21"/>
  <c r="J157" i="21"/>
  <c r="J156" i="21"/>
  <c r="J155" i="21"/>
  <c r="J154" i="21"/>
  <c r="J153" i="21"/>
  <c r="J152" i="21"/>
  <c r="J151" i="21"/>
  <c r="J145" i="21"/>
  <c r="J144" i="21"/>
  <c r="J143" i="21"/>
  <c r="J142" i="21"/>
  <c r="J141" i="21"/>
  <c r="J140" i="21"/>
  <c r="J139" i="21"/>
  <c r="J138" i="21"/>
  <c r="J137" i="21"/>
  <c r="J136" i="21"/>
  <c r="J135" i="21"/>
  <c r="J134" i="21"/>
  <c r="J128" i="21"/>
  <c r="J127" i="21"/>
  <c r="J126" i="21"/>
  <c r="J125" i="21"/>
  <c r="J124" i="21"/>
  <c r="J123" i="21"/>
  <c r="J122" i="21"/>
  <c r="J121" i="21"/>
  <c r="J120" i="21"/>
  <c r="J119" i="21"/>
  <c r="J118" i="21"/>
  <c r="J117" i="21"/>
  <c r="J111" i="21"/>
  <c r="J110" i="21"/>
  <c r="J109" i="21"/>
  <c r="J108" i="21"/>
  <c r="J107" i="21"/>
  <c r="J106" i="21"/>
  <c r="J105" i="21"/>
  <c r="J104" i="21"/>
  <c r="J103" i="21"/>
  <c r="J102" i="21"/>
  <c r="J101" i="21"/>
  <c r="J100" i="21"/>
  <c r="J94" i="21"/>
  <c r="J93" i="21"/>
  <c r="J92" i="21"/>
  <c r="J91" i="21"/>
  <c r="J90" i="21"/>
  <c r="J89" i="21"/>
  <c r="J88" i="21"/>
  <c r="J87" i="21"/>
  <c r="J86" i="21"/>
  <c r="J85" i="21"/>
  <c r="J84" i="21"/>
  <c r="J83" i="21"/>
  <c r="J77" i="21"/>
  <c r="J76" i="21"/>
  <c r="J75" i="21"/>
  <c r="J74" i="21"/>
  <c r="J73" i="21"/>
  <c r="J72" i="21"/>
  <c r="J71" i="21"/>
  <c r="J70" i="21"/>
  <c r="J69" i="21"/>
  <c r="J68" i="21"/>
  <c r="J67" i="21"/>
  <c r="J66" i="21"/>
  <c r="J60" i="21"/>
  <c r="J59" i="21"/>
  <c r="J58" i="21"/>
  <c r="J57" i="21"/>
  <c r="J56" i="21"/>
  <c r="J55" i="21"/>
  <c r="J54" i="21"/>
  <c r="J53" i="21"/>
  <c r="J52" i="21"/>
  <c r="J51" i="21"/>
  <c r="J50" i="21"/>
  <c r="J49" i="21"/>
  <c r="J43" i="21"/>
  <c r="J42" i="21"/>
  <c r="J41" i="21"/>
  <c r="J40" i="21"/>
  <c r="J39" i="21"/>
  <c r="J38" i="21"/>
  <c r="J37" i="21"/>
  <c r="J36" i="21"/>
  <c r="J35" i="21"/>
  <c r="J34" i="21"/>
  <c r="J33" i="21"/>
  <c r="J32" i="21"/>
  <c r="J16" i="21"/>
  <c r="J17" i="21"/>
  <c r="J18" i="21"/>
  <c r="J19" i="21"/>
  <c r="J20" i="21"/>
  <c r="J21" i="21"/>
  <c r="J22" i="21"/>
  <c r="J23" i="21"/>
  <c r="J24" i="21"/>
  <c r="J25" i="21"/>
  <c r="J26" i="21"/>
  <c r="J15" i="21"/>
  <c r="I438" i="21"/>
  <c r="I421" i="21"/>
  <c r="I404" i="21"/>
  <c r="I387" i="21"/>
  <c r="I370" i="21"/>
  <c r="I353" i="21"/>
  <c r="I336" i="21"/>
  <c r="I319" i="21"/>
  <c r="I302" i="21"/>
  <c r="I285" i="21"/>
  <c r="I268" i="21"/>
  <c r="I251" i="21"/>
  <c r="I234" i="21"/>
  <c r="I217" i="21"/>
  <c r="I200" i="21"/>
  <c r="I183" i="21"/>
  <c r="I166" i="21"/>
  <c r="I149" i="21"/>
  <c r="I132" i="21"/>
  <c r="I115" i="21"/>
  <c r="I98" i="21"/>
  <c r="I81" i="21"/>
  <c r="I64" i="21"/>
  <c r="I47" i="21"/>
  <c r="I30" i="21"/>
  <c r="I13" i="21"/>
  <c r="AK8" i="14"/>
  <c r="AK9" i="14"/>
  <c r="AK10" i="14"/>
  <c r="AK11" i="14"/>
  <c r="AK12" i="14"/>
  <c r="AK13" i="14"/>
  <c r="AK14" i="14"/>
  <c r="AK15" i="14"/>
  <c r="AK16" i="14"/>
  <c r="AK17" i="14"/>
  <c r="AK18" i="14"/>
  <c r="AK19" i="14"/>
  <c r="AK20" i="14"/>
  <c r="AK21" i="14"/>
  <c r="AK22" i="14"/>
  <c r="AK23" i="14"/>
  <c r="AK24" i="14"/>
  <c r="AK25" i="14"/>
  <c r="AK26" i="14"/>
  <c r="AK27" i="14"/>
  <c r="AK28" i="14"/>
  <c r="AK29" i="14"/>
  <c r="AK30" i="14"/>
  <c r="AK31" i="14"/>
  <c r="AK32" i="14"/>
  <c r="AK33" i="14"/>
  <c r="AK7" i="14"/>
  <c r="AK34" i="14"/>
  <c r="T11" i="14"/>
  <c r="U11" i="14"/>
  <c r="V11" i="14"/>
  <c r="T12" i="14"/>
  <c r="U12" i="14"/>
  <c r="V12" i="14"/>
  <c r="T13" i="14"/>
  <c r="U13" i="14"/>
  <c r="V13" i="14"/>
  <c r="T14" i="14"/>
  <c r="U14" i="14"/>
  <c r="V14" i="14"/>
  <c r="T15" i="14"/>
  <c r="U15" i="14"/>
  <c r="V15" i="14"/>
  <c r="T16" i="14"/>
  <c r="U16" i="14"/>
  <c r="V16" i="14"/>
  <c r="T17" i="14"/>
  <c r="U17" i="14"/>
  <c r="V17" i="14"/>
  <c r="T18" i="14"/>
  <c r="U18" i="14"/>
  <c r="V18" i="14"/>
  <c r="T19" i="14"/>
  <c r="U19" i="14"/>
  <c r="V19" i="14"/>
  <c r="T20" i="14"/>
  <c r="U20" i="14"/>
  <c r="V20" i="14"/>
  <c r="T21" i="14"/>
  <c r="U21" i="14"/>
  <c r="V21" i="14"/>
  <c r="T22" i="14"/>
  <c r="U22" i="14"/>
  <c r="V22" i="14"/>
  <c r="T23" i="14"/>
  <c r="U23" i="14"/>
  <c r="V23" i="14"/>
  <c r="T24" i="14"/>
  <c r="U24" i="14"/>
  <c r="V24" i="14"/>
  <c r="T25" i="14"/>
  <c r="U25" i="14"/>
  <c r="V25" i="14"/>
  <c r="T26" i="14"/>
  <c r="U26" i="14"/>
  <c r="V26" i="14"/>
  <c r="T27" i="14"/>
  <c r="U27" i="14"/>
  <c r="V27" i="14"/>
  <c r="T28" i="14"/>
  <c r="U28" i="14"/>
  <c r="V28" i="14"/>
  <c r="T29" i="14"/>
  <c r="U29" i="14"/>
  <c r="V29" i="14"/>
  <c r="T30" i="14"/>
  <c r="U30" i="14"/>
  <c r="V30" i="14"/>
  <c r="T31" i="14"/>
  <c r="U31" i="14"/>
  <c r="V31" i="14"/>
  <c r="T32" i="14"/>
  <c r="U32" i="14"/>
  <c r="V32" i="14"/>
  <c r="T33" i="14"/>
  <c r="U33" i="14"/>
  <c r="X33" i="14" s="1"/>
  <c r="V33" i="14"/>
  <c r="X11" i="14"/>
  <c r="X12" i="14"/>
  <c r="X13" i="14"/>
  <c r="X14" i="14"/>
  <c r="X15" i="14"/>
  <c r="X16" i="14"/>
  <c r="X17" i="14"/>
  <c r="X18" i="14"/>
  <c r="X19" i="14"/>
  <c r="X20" i="14"/>
  <c r="X21" i="14"/>
  <c r="X22" i="14"/>
  <c r="X23" i="14"/>
  <c r="X24" i="14"/>
  <c r="X25" i="14"/>
  <c r="X26" i="14"/>
  <c r="X27" i="14"/>
  <c r="X28" i="14"/>
  <c r="X29" i="14"/>
  <c r="X30" i="14"/>
  <c r="X31" i="14"/>
  <c r="X32" i="14"/>
  <c r="U18" i="12"/>
  <c r="V19" i="12"/>
  <c r="W19" i="12"/>
  <c r="U19" i="12"/>
  <c r="V18" i="12"/>
  <c r="W18" i="12"/>
  <c r="S8" i="14"/>
  <c r="S9" i="14"/>
  <c r="S10" i="14"/>
  <c r="S11" i="14"/>
  <c r="S12" i="14"/>
  <c r="S13" i="14"/>
  <c r="S14" i="14"/>
  <c r="S15" i="14"/>
  <c r="S16" i="14"/>
  <c r="S17" i="14"/>
  <c r="S18" i="14"/>
  <c r="S19" i="14"/>
  <c r="S20" i="14"/>
  <c r="S21" i="14"/>
  <c r="S22" i="14"/>
  <c r="S23" i="14"/>
  <c r="S24" i="14"/>
  <c r="S25" i="14"/>
  <c r="S26" i="14"/>
  <c r="S27" i="14"/>
  <c r="S28" i="14"/>
  <c r="S29" i="14"/>
  <c r="S30" i="14"/>
  <c r="S31" i="14"/>
  <c r="S32" i="14"/>
  <c r="S33" i="14"/>
  <c r="S7" i="14"/>
  <c r="R8" i="14"/>
  <c r="R9" i="14"/>
  <c r="R10" i="14"/>
  <c r="R11" i="14"/>
  <c r="R12" i="14"/>
  <c r="R13" i="14"/>
  <c r="R14" i="14"/>
  <c r="R15" i="14"/>
  <c r="R16" i="14"/>
  <c r="R17" i="14"/>
  <c r="R18" i="14"/>
  <c r="R19" i="14"/>
  <c r="R20" i="14"/>
  <c r="R21" i="14"/>
  <c r="R22" i="14"/>
  <c r="R23" i="14"/>
  <c r="R24" i="14"/>
  <c r="R25" i="14"/>
  <c r="R26" i="14"/>
  <c r="R27" i="14"/>
  <c r="R28" i="14"/>
  <c r="R29" i="14"/>
  <c r="R30" i="14"/>
  <c r="R31" i="14"/>
  <c r="R32" i="14"/>
  <c r="R33" i="14"/>
  <c r="R7" i="14"/>
  <c r="H45" i="3"/>
  <c r="S21" i="12"/>
  <c r="J282" i="21" l="1"/>
  <c r="J418" i="21"/>
  <c r="U9" i="14"/>
  <c r="T10" i="14"/>
  <c r="U7" i="14"/>
  <c r="V9" i="14"/>
  <c r="V10" i="14"/>
  <c r="V8" i="14"/>
  <c r="T9" i="14"/>
  <c r="U8" i="14"/>
  <c r="T8" i="14"/>
  <c r="V7" i="14"/>
  <c r="U10" i="14"/>
  <c r="T7" i="14"/>
  <c r="AJ14" i="14"/>
  <c r="AO14" i="14"/>
  <c r="AJ8" i="14"/>
  <c r="AO8" i="14"/>
  <c r="AJ16" i="14"/>
  <c r="AO16" i="14"/>
  <c r="AJ24" i="14"/>
  <c r="AO24" i="14"/>
  <c r="AJ32" i="14"/>
  <c r="AO32" i="14"/>
  <c r="AJ25" i="14"/>
  <c r="AO25" i="14"/>
  <c r="AJ9" i="14"/>
  <c r="AO9" i="14"/>
  <c r="AJ10" i="14"/>
  <c r="AO10" i="14"/>
  <c r="AJ18" i="14"/>
  <c r="AO18" i="14"/>
  <c r="AJ26" i="14"/>
  <c r="AO26" i="14"/>
  <c r="AJ22" i="14"/>
  <c r="AO22" i="14"/>
  <c r="AJ17" i="14"/>
  <c r="AO17" i="14"/>
  <c r="AJ27" i="14"/>
  <c r="AO27" i="14"/>
  <c r="AJ33" i="14"/>
  <c r="AO33" i="14"/>
  <c r="AJ19" i="14"/>
  <c r="AO19" i="14"/>
  <c r="AJ12" i="14"/>
  <c r="AO12" i="14"/>
  <c r="AJ20" i="14"/>
  <c r="AO20" i="14"/>
  <c r="AJ28" i="14"/>
  <c r="AO28" i="14"/>
  <c r="AJ30" i="14"/>
  <c r="AO30" i="14"/>
  <c r="AJ11" i="14"/>
  <c r="AO11" i="14"/>
  <c r="AJ13" i="14"/>
  <c r="AO13" i="14"/>
  <c r="AJ21" i="14"/>
  <c r="AO21" i="14"/>
  <c r="AJ29" i="14"/>
  <c r="AO29" i="14"/>
  <c r="AJ7" i="14"/>
  <c r="AO7" i="14"/>
  <c r="AJ15" i="14"/>
  <c r="AO15" i="14"/>
  <c r="AJ23" i="14"/>
  <c r="AO23" i="14"/>
  <c r="AJ31" i="14"/>
  <c r="AO31" i="14"/>
  <c r="J248" i="21"/>
  <c r="J214" i="21"/>
  <c r="J180" i="21"/>
  <c r="J146" i="21"/>
  <c r="J112" i="21"/>
  <c r="J27" i="21"/>
  <c r="J469" i="21"/>
  <c r="J452" i="21"/>
  <c r="J435" i="21"/>
  <c r="J401" i="21"/>
  <c r="J384" i="21"/>
  <c r="J367" i="21"/>
  <c r="J333" i="21"/>
  <c r="J316" i="21"/>
  <c r="J299" i="21"/>
  <c r="J265" i="21"/>
  <c r="J231" i="21"/>
  <c r="J197" i="21"/>
  <c r="J163" i="21"/>
  <c r="J129" i="21"/>
  <c r="J95" i="21"/>
  <c r="J78" i="21"/>
  <c r="J61" i="21"/>
  <c r="J44" i="21"/>
  <c r="X10" i="14" l="1"/>
  <c r="X7" i="14"/>
  <c r="X9" i="14"/>
  <c r="X8" i="14"/>
  <c r="AM34" i="14"/>
  <c r="AW43" i="14"/>
  <c r="AW44" i="14"/>
  <c r="AW45" i="14"/>
  <c r="AW46" i="14"/>
  <c r="AW47" i="14"/>
  <c r="AW48" i="14"/>
  <c r="AW49" i="14"/>
  <c r="AW50" i="14"/>
  <c r="AW51" i="14"/>
  <c r="AW52" i="14"/>
  <c r="AW53" i="14"/>
  <c r="AW54" i="14"/>
  <c r="AW55" i="14"/>
  <c r="AW56" i="14"/>
  <c r="AW57" i="14"/>
  <c r="AW58" i="14"/>
  <c r="AW59" i="14"/>
  <c r="AW60" i="14"/>
  <c r="AW61" i="14"/>
  <c r="AW62" i="14"/>
  <c r="AW63" i="14"/>
  <c r="AW64" i="14"/>
  <c r="AU39" i="14"/>
  <c r="AU40" i="14"/>
  <c r="AU41" i="14"/>
  <c r="AU42" i="14"/>
  <c r="AU43" i="14"/>
  <c r="AU44" i="14"/>
  <c r="AU45" i="14"/>
  <c r="AU46" i="14"/>
  <c r="AU47" i="14"/>
  <c r="AU48" i="14"/>
  <c r="AU49" i="14"/>
  <c r="AU50" i="14"/>
  <c r="AU51" i="14"/>
  <c r="AU52" i="14"/>
  <c r="AU53" i="14"/>
  <c r="AU54" i="14"/>
  <c r="AU55" i="14"/>
  <c r="AU56" i="14"/>
  <c r="AU57" i="14"/>
  <c r="AU58" i="14"/>
  <c r="AU59" i="14"/>
  <c r="AU60" i="14"/>
  <c r="AU61" i="14"/>
  <c r="AU62" i="14"/>
  <c r="AU63" i="14"/>
  <c r="AU64" i="14"/>
  <c r="AU38" i="14"/>
  <c r="AT39" i="14"/>
  <c r="AT40" i="14"/>
  <c r="AT41" i="14"/>
  <c r="AT42" i="14"/>
  <c r="AT43" i="14"/>
  <c r="AT44" i="14"/>
  <c r="AT45" i="14"/>
  <c r="AT46" i="14"/>
  <c r="AT47" i="14"/>
  <c r="AT48" i="14"/>
  <c r="AT49" i="14"/>
  <c r="AT50" i="14"/>
  <c r="AT51" i="14"/>
  <c r="AT52" i="14"/>
  <c r="AT53" i="14"/>
  <c r="AT54" i="14"/>
  <c r="AT55" i="14"/>
  <c r="AT56" i="14"/>
  <c r="AT57" i="14"/>
  <c r="AT58" i="14"/>
  <c r="AT59" i="14"/>
  <c r="AT60" i="14"/>
  <c r="AT61" i="14"/>
  <c r="AT62" i="14"/>
  <c r="AT63" i="14"/>
  <c r="AT64" i="14"/>
  <c r="AT38"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X34" i="14" l="1"/>
  <c r="D12" i="19"/>
  <c r="D11" i="19" s="1"/>
  <c r="D14" i="19"/>
  <c r="D55" i="19"/>
  <c r="J7" i="12"/>
  <c r="J10" i="12" l="1"/>
  <c r="J9" i="12"/>
  <c r="J8" i="12"/>
  <c r="AC34" i="14" l="1"/>
  <c r="M39" i="14"/>
  <c r="N39" i="14"/>
  <c r="M40" i="14"/>
  <c r="N40" i="14"/>
  <c r="M41" i="14"/>
  <c r="N41" i="14"/>
  <c r="M42" i="14"/>
  <c r="N42" i="14"/>
  <c r="M43" i="14"/>
  <c r="N43" i="14"/>
  <c r="M44" i="14"/>
  <c r="N44" i="14"/>
  <c r="M45" i="14"/>
  <c r="N45" i="14"/>
  <c r="M46" i="14"/>
  <c r="N46" i="14"/>
  <c r="M47" i="14"/>
  <c r="N47" i="14"/>
  <c r="M48" i="14"/>
  <c r="N48" i="14"/>
  <c r="M49" i="14"/>
  <c r="N49" i="14"/>
  <c r="M50" i="14"/>
  <c r="N50" i="14"/>
  <c r="M51" i="14"/>
  <c r="N51" i="14"/>
  <c r="M52" i="14"/>
  <c r="N52" i="14"/>
  <c r="M53" i="14"/>
  <c r="N53" i="14"/>
  <c r="M54" i="14"/>
  <c r="N54" i="14"/>
  <c r="M55" i="14"/>
  <c r="N55" i="14"/>
  <c r="M56" i="14"/>
  <c r="N56" i="14"/>
  <c r="M57" i="14"/>
  <c r="N57" i="14"/>
  <c r="M58" i="14"/>
  <c r="N58" i="14"/>
  <c r="M59" i="14"/>
  <c r="N59" i="14"/>
  <c r="M60" i="14"/>
  <c r="N60" i="14"/>
  <c r="M61" i="14"/>
  <c r="N61" i="14"/>
  <c r="M62" i="14"/>
  <c r="N62" i="14"/>
  <c r="M63" i="14"/>
  <c r="N63" i="14"/>
  <c r="M64" i="14"/>
  <c r="N64" i="14"/>
  <c r="N38" i="14"/>
  <c r="M38" i="14"/>
  <c r="L39" i="14"/>
  <c r="L40" i="14"/>
  <c r="L41" i="14"/>
  <c r="L42" i="14"/>
  <c r="L43" i="14"/>
  <c r="L44" i="14"/>
  <c r="L45" i="14"/>
  <c r="L46" i="14"/>
  <c r="L47" i="14"/>
  <c r="L48" i="14"/>
  <c r="L49" i="14"/>
  <c r="L50" i="14"/>
  <c r="L51" i="14"/>
  <c r="L52" i="14"/>
  <c r="L53" i="14"/>
  <c r="L54" i="14"/>
  <c r="L55" i="14"/>
  <c r="L56" i="14"/>
  <c r="L57" i="14"/>
  <c r="L58" i="14"/>
  <c r="L59" i="14"/>
  <c r="L60" i="14"/>
  <c r="L61" i="14"/>
  <c r="L62" i="14"/>
  <c r="L63" i="14"/>
  <c r="L64" i="14"/>
  <c r="L38" i="14"/>
  <c r="E8" i="14"/>
  <c r="F8" i="14"/>
  <c r="E9" i="14"/>
  <c r="F9" i="14"/>
  <c r="E10" i="14"/>
  <c r="F10" i="14"/>
  <c r="E11" i="14"/>
  <c r="F11" i="14"/>
  <c r="E12" i="14"/>
  <c r="F12" i="14"/>
  <c r="E13" i="14"/>
  <c r="F13" i="14"/>
  <c r="E14" i="14"/>
  <c r="F14" i="14"/>
  <c r="E15" i="14"/>
  <c r="F15" i="14"/>
  <c r="E16" i="14"/>
  <c r="F16" i="14"/>
  <c r="E17" i="14"/>
  <c r="F17" i="14"/>
  <c r="E18" i="14"/>
  <c r="F18" i="14"/>
  <c r="E19" i="14"/>
  <c r="F19" i="14"/>
  <c r="E20" i="14"/>
  <c r="F20" i="14"/>
  <c r="E21" i="14"/>
  <c r="F21" i="14"/>
  <c r="E22" i="14"/>
  <c r="F22" i="14"/>
  <c r="E23" i="14"/>
  <c r="F23" i="14"/>
  <c r="E24" i="14"/>
  <c r="F24" i="14"/>
  <c r="E25" i="14"/>
  <c r="F25" i="14"/>
  <c r="E26" i="14"/>
  <c r="F26" i="14"/>
  <c r="E27" i="14"/>
  <c r="F27" i="14"/>
  <c r="E28" i="14"/>
  <c r="F28" i="14"/>
  <c r="E29" i="14"/>
  <c r="F29" i="14"/>
  <c r="E30" i="14"/>
  <c r="F30" i="14"/>
  <c r="E31" i="14"/>
  <c r="F31" i="14"/>
  <c r="E32" i="14"/>
  <c r="F32" i="14"/>
  <c r="E33" i="14"/>
  <c r="F33" i="14"/>
  <c r="E7" i="14"/>
  <c r="F7" i="14"/>
  <c r="E75" i="14" l="1"/>
  <c r="Z39" i="14"/>
  <c r="Z40" i="14"/>
  <c r="Z70" i="14"/>
  <c r="AT8" i="14"/>
  <c r="AT9" i="14"/>
  <c r="AT10" i="14"/>
  <c r="AT11" i="14"/>
  <c r="AT12" i="14"/>
  <c r="AT13" i="14"/>
  <c r="AT14" i="14"/>
  <c r="AT15" i="14"/>
  <c r="AT16" i="14"/>
  <c r="AT17" i="14"/>
  <c r="AT18" i="14"/>
  <c r="AT19" i="14"/>
  <c r="AT20" i="14"/>
  <c r="AT21" i="14"/>
  <c r="AT22" i="14"/>
  <c r="AT23" i="14"/>
  <c r="AT24" i="14"/>
  <c r="AT25" i="14"/>
  <c r="AT26" i="14"/>
  <c r="R38" i="14"/>
  <c r="Z7" i="14"/>
  <c r="AE8" i="14"/>
  <c r="R39" i="14"/>
  <c r="R40" i="14"/>
  <c r="R41" i="14"/>
  <c r="R42" i="14"/>
  <c r="R43" i="14"/>
  <c r="R44" i="14"/>
  <c r="R45" i="14"/>
  <c r="R46" i="14"/>
  <c r="R47" i="14"/>
  <c r="R48" i="14"/>
  <c r="R49" i="14"/>
  <c r="R50" i="14"/>
  <c r="R51" i="14"/>
  <c r="R52" i="14"/>
  <c r="R53" i="14"/>
  <c r="R54" i="14"/>
  <c r="R55" i="14"/>
  <c r="R56" i="14"/>
  <c r="R57" i="14"/>
  <c r="R58" i="14"/>
  <c r="R59" i="14"/>
  <c r="R60" i="14"/>
  <c r="R61" i="14"/>
  <c r="R62" i="14"/>
  <c r="R63" i="14"/>
  <c r="R64" i="14"/>
  <c r="AO39" i="14"/>
  <c r="AO38" i="14"/>
  <c r="AP39" i="14"/>
  <c r="AO40" i="14"/>
  <c r="AP40" i="14"/>
  <c r="AO41" i="14"/>
  <c r="AP41" i="14"/>
  <c r="AO42" i="14"/>
  <c r="AP42" i="14"/>
  <c r="AO43" i="14"/>
  <c r="AP43" i="14"/>
  <c r="AO44" i="14"/>
  <c r="AP44" i="14"/>
  <c r="AO45" i="14"/>
  <c r="AP45" i="14"/>
  <c r="AO46" i="14"/>
  <c r="AP46" i="14"/>
  <c r="AO47" i="14"/>
  <c r="AP47" i="14"/>
  <c r="AO48" i="14"/>
  <c r="AP48" i="14"/>
  <c r="AO49" i="14"/>
  <c r="AP49" i="14"/>
  <c r="AO50" i="14"/>
  <c r="AP50" i="14"/>
  <c r="AO51" i="14"/>
  <c r="AP51" i="14"/>
  <c r="AO52" i="14"/>
  <c r="AP52" i="14"/>
  <c r="AO53" i="14"/>
  <c r="AP53" i="14"/>
  <c r="AO54" i="14"/>
  <c r="AP54" i="14"/>
  <c r="AO55" i="14"/>
  <c r="AP55" i="14"/>
  <c r="AO56" i="14"/>
  <c r="AP56" i="14"/>
  <c r="AO57" i="14"/>
  <c r="AP57" i="14"/>
  <c r="AO58" i="14"/>
  <c r="AP58" i="14"/>
  <c r="AO59" i="14"/>
  <c r="AP59" i="14"/>
  <c r="AO60" i="14"/>
  <c r="AP60" i="14"/>
  <c r="AO61" i="14"/>
  <c r="AP61" i="14"/>
  <c r="AO62" i="14"/>
  <c r="AP62" i="14"/>
  <c r="AO63" i="14"/>
  <c r="AP63" i="14"/>
  <c r="AO64" i="14"/>
  <c r="AP64" i="14"/>
  <c r="AP38" i="14"/>
  <c r="AP65" i="14"/>
  <c r="A21" i="12"/>
  <c r="A8" i="12"/>
  <c r="A10" i="12"/>
  <c r="A9" i="12"/>
  <c r="G73" i="14" s="1"/>
  <c r="A7" i="12"/>
  <c r="AF8" i="14"/>
  <c r="AF9" i="14"/>
  <c r="AF10" i="14"/>
  <c r="AF11" i="14"/>
  <c r="AF12" i="14"/>
  <c r="AF13" i="14"/>
  <c r="AF14" i="14"/>
  <c r="AF15" i="14"/>
  <c r="AF16" i="14"/>
  <c r="AF17" i="14"/>
  <c r="AF18" i="14"/>
  <c r="AF19" i="14"/>
  <c r="AF20" i="14"/>
  <c r="AF21" i="14"/>
  <c r="AF22" i="14"/>
  <c r="AF23" i="14"/>
  <c r="AF24" i="14"/>
  <c r="AF25" i="14"/>
  <c r="AF26" i="14"/>
  <c r="AF27" i="14"/>
  <c r="AF28" i="14"/>
  <c r="AF29" i="14"/>
  <c r="AF30" i="14"/>
  <c r="AF31" i="14"/>
  <c r="AF32" i="14"/>
  <c r="AF33" i="14"/>
  <c r="AF34" i="14"/>
  <c r="AE9" i="14"/>
  <c r="AE10" i="14"/>
  <c r="AE11" i="14"/>
  <c r="AE12" i="14"/>
  <c r="AE13" i="14"/>
  <c r="AE14" i="14"/>
  <c r="AE15" i="14"/>
  <c r="AE16" i="14"/>
  <c r="AE17" i="14"/>
  <c r="AE18" i="14"/>
  <c r="AE19" i="14"/>
  <c r="AE20" i="14"/>
  <c r="AE21" i="14"/>
  <c r="AE22" i="14"/>
  <c r="AE23" i="14"/>
  <c r="AE24" i="14"/>
  <c r="AE25" i="14"/>
  <c r="AE26" i="14"/>
  <c r="AE27" i="14"/>
  <c r="AE28" i="14"/>
  <c r="AE29" i="14"/>
  <c r="AE30" i="14"/>
  <c r="AE31" i="14"/>
  <c r="AE32" i="14"/>
  <c r="AE33" i="14"/>
  <c r="AF7" i="14"/>
  <c r="AB71" i="14"/>
  <c r="AB72" i="14"/>
  <c r="AB73" i="14"/>
  <c r="AB74" i="14"/>
  <c r="AB75" i="14"/>
  <c r="AB76" i="14"/>
  <c r="AB77" i="14"/>
  <c r="AB78" i="14"/>
  <c r="AB79" i="14"/>
  <c r="AB80" i="14"/>
  <c r="AB81" i="14"/>
  <c r="AB82" i="14"/>
  <c r="AB83" i="14"/>
  <c r="AB84" i="14"/>
  <c r="AB85" i="14"/>
  <c r="AB86" i="14"/>
  <c r="AB87" i="14"/>
  <c r="AB88" i="14"/>
  <c r="AB89" i="14"/>
  <c r="AB90" i="14"/>
  <c r="AB91" i="14"/>
  <c r="AB92" i="14"/>
  <c r="AB93" i="14"/>
  <c r="AB94" i="14"/>
  <c r="AB95" i="14"/>
  <c r="AB96" i="14"/>
  <c r="AB70" i="14"/>
  <c r="AA71" i="14"/>
  <c r="AA72" i="14"/>
  <c r="AA73" i="14"/>
  <c r="AA74" i="14"/>
  <c r="AA75" i="14"/>
  <c r="AA76" i="14"/>
  <c r="AA77" i="14"/>
  <c r="AA78" i="14"/>
  <c r="AA79" i="14"/>
  <c r="AA80" i="14"/>
  <c r="AA81" i="14"/>
  <c r="AA82" i="14"/>
  <c r="AA83" i="14"/>
  <c r="AA84" i="14"/>
  <c r="AA85" i="14"/>
  <c r="AA86" i="14"/>
  <c r="AA87" i="14"/>
  <c r="AA88" i="14"/>
  <c r="AA89" i="14"/>
  <c r="AA90" i="14"/>
  <c r="AA91" i="14"/>
  <c r="AA92" i="14"/>
  <c r="AA93" i="14"/>
  <c r="AA94" i="14"/>
  <c r="AA95" i="14"/>
  <c r="AA96" i="14"/>
  <c r="AA70" i="14"/>
  <c r="Z71" i="14"/>
  <c r="Z72" i="14"/>
  <c r="Z73" i="14"/>
  <c r="Z74" i="14"/>
  <c r="Z75" i="14"/>
  <c r="Z76" i="14"/>
  <c r="Z77" i="14"/>
  <c r="Z78" i="14"/>
  <c r="Z79" i="14"/>
  <c r="Z80" i="14"/>
  <c r="Z81" i="14"/>
  <c r="Z82" i="14"/>
  <c r="Z83" i="14"/>
  <c r="Z84" i="14"/>
  <c r="Z85" i="14"/>
  <c r="Z86" i="14"/>
  <c r="Z87" i="14"/>
  <c r="Z88" i="14"/>
  <c r="Z89" i="14"/>
  <c r="Z90" i="14"/>
  <c r="Z91" i="14"/>
  <c r="Z92" i="14"/>
  <c r="Z93" i="14"/>
  <c r="Z94" i="14"/>
  <c r="Z95" i="14"/>
  <c r="Z96" i="14"/>
  <c r="AA39" i="14"/>
  <c r="AA40" i="14"/>
  <c r="Z41" i="14"/>
  <c r="AA41" i="14"/>
  <c r="Z42" i="14"/>
  <c r="AA42" i="14"/>
  <c r="Z43" i="14"/>
  <c r="AA43" i="14"/>
  <c r="Z44" i="14"/>
  <c r="AA44" i="14"/>
  <c r="Z45" i="14"/>
  <c r="AA45" i="14"/>
  <c r="Z46" i="14"/>
  <c r="AA46" i="14"/>
  <c r="Z47" i="14"/>
  <c r="AA47" i="14"/>
  <c r="Z48" i="14"/>
  <c r="AA48" i="14"/>
  <c r="Z49" i="14"/>
  <c r="AA49" i="14"/>
  <c r="Z50" i="14"/>
  <c r="AA50" i="14"/>
  <c r="Z51" i="14"/>
  <c r="AA51" i="14"/>
  <c r="Z52" i="14"/>
  <c r="AA52" i="14"/>
  <c r="Z53" i="14"/>
  <c r="AA53" i="14"/>
  <c r="Z54" i="14"/>
  <c r="AA54" i="14"/>
  <c r="Z55" i="14"/>
  <c r="AA55" i="14"/>
  <c r="Z56" i="14"/>
  <c r="AA56" i="14"/>
  <c r="Z57" i="14"/>
  <c r="AA57" i="14"/>
  <c r="Z58" i="14"/>
  <c r="AA58" i="14"/>
  <c r="Z59" i="14"/>
  <c r="AA59" i="14"/>
  <c r="Z60" i="14"/>
  <c r="AA60" i="14"/>
  <c r="Z61" i="14"/>
  <c r="AA61" i="14"/>
  <c r="Z62" i="14"/>
  <c r="AA62" i="14"/>
  <c r="Z63" i="14"/>
  <c r="AA63" i="14"/>
  <c r="Z64" i="14"/>
  <c r="AA64" i="14"/>
  <c r="AA38" i="14"/>
  <c r="AA8" i="14"/>
  <c r="Z9" i="14"/>
  <c r="AA9" i="14"/>
  <c r="Z10" i="14"/>
  <c r="AA10" i="14"/>
  <c r="Z11" i="14"/>
  <c r="AA11" i="14"/>
  <c r="Z12" i="14"/>
  <c r="AA12" i="14"/>
  <c r="Z13" i="14"/>
  <c r="AA13" i="14"/>
  <c r="Z14" i="14"/>
  <c r="AA14" i="14"/>
  <c r="Z15" i="14"/>
  <c r="AA15" i="14"/>
  <c r="Z16" i="14"/>
  <c r="AA16" i="14"/>
  <c r="Z17" i="14"/>
  <c r="AA17" i="14"/>
  <c r="Z18" i="14"/>
  <c r="AA18" i="14"/>
  <c r="Z19" i="14"/>
  <c r="AA19" i="14"/>
  <c r="Z20" i="14"/>
  <c r="AA20" i="14"/>
  <c r="Z21" i="14"/>
  <c r="AA21" i="14"/>
  <c r="Z22" i="14"/>
  <c r="AA22" i="14"/>
  <c r="Z23" i="14"/>
  <c r="AA23" i="14"/>
  <c r="Z24" i="14"/>
  <c r="AA24" i="14"/>
  <c r="Z25" i="14"/>
  <c r="AA25" i="14"/>
  <c r="Z26" i="14"/>
  <c r="AA26" i="14"/>
  <c r="Z27" i="14"/>
  <c r="AA27" i="14"/>
  <c r="Z28" i="14"/>
  <c r="AA28" i="14"/>
  <c r="Z29" i="14"/>
  <c r="AA29" i="14"/>
  <c r="Z30" i="14"/>
  <c r="AA30" i="14"/>
  <c r="Z31" i="14"/>
  <c r="AA31" i="14"/>
  <c r="Z32" i="14"/>
  <c r="AA32" i="14"/>
  <c r="Z33" i="14"/>
  <c r="AA33" i="14"/>
  <c r="AA7" i="14"/>
  <c r="AE97" i="14" l="1"/>
  <c r="H70" i="14" s="1"/>
  <c r="H74" i="14"/>
  <c r="E74" i="14"/>
  <c r="H75" i="14"/>
  <c r="Z8" i="14"/>
  <c r="AE7" i="14"/>
  <c r="H73" i="14"/>
  <c r="AU7" i="14"/>
  <c r="AT7" i="14"/>
  <c r="S39" i="14"/>
  <c r="S40" i="14"/>
  <c r="S41" i="14"/>
  <c r="S42" i="14"/>
  <c r="S43" i="14"/>
  <c r="S44" i="14"/>
  <c r="S45" i="14"/>
  <c r="S46" i="14"/>
  <c r="S47" i="14"/>
  <c r="S48" i="14"/>
  <c r="S49" i="14"/>
  <c r="S50" i="14"/>
  <c r="S51" i="14"/>
  <c r="S52" i="14"/>
  <c r="S53" i="14"/>
  <c r="S54" i="14"/>
  <c r="S55" i="14"/>
  <c r="S56" i="14"/>
  <c r="S57" i="14"/>
  <c r="S58" i="14"/>
  <c r="S59" i="14"/>
  <c r="S60" i="14"/>
  <c r="S61" i="14"/>
  <c r="S62" i="14"/>
  <c r="S63" i="14"/>
  <c r="S64" i="14"/>
  <c r="S38" i="14"/>
  <c r="J39" i="14"/>
  <c r="K39" i="14"/>
  <c r="J40" i="14"/>
  <c r="K40" i="14"/>
  <c r="J41" i="14"/>
  <c r="K41" i="14"/>
  <c r="J42" i="14"/>
  <c r="K42" i="14"/>
  <c r="J43" i="14"/>
  <c r="K43" i="14"/>
  <c r="J44" i="14"/>
  <c r="K44" i="14"/>
  <c r="J45" i="14"/>
  <c r="K45" i="14"/>
  <c r="J46" i="14"/>
  <c r="K46" i="14"/>
  <c r="J47" i="14"/>
  <c r="K47" i="14"/>
  <c r="J48" i="14"/>
  <c r="K48" i="14"/>
  <c r="J49" i="14"/>
  <c r="K49" i="14"/>
  <c r="J50" i="14"/>
  <c r="K50" i="14"/>
  <c r="J51" i="14"/>
  <c r="K51" i="14"/>
  <c r="J52" i="14"/>
  <c r="K52" i="14"/>
  <c r="J53" i="14"/>
  <c r="K53" i="14"/>
  <c r="J54" i="14"/>
  <c r="K54" i="14"/>
  <c r="J55" i="14"/>
  <c r="K55" i="14"/>
  <c r="J56" i="14"/>
  <c r="K56" i="14"/>
  <c r="J57" i="14"/>
  <c r="K57" i="14"/>
  <c r="J58" i="14"/>
  <c r="K58" i="14"/>
  <c r="J59" i="14"/>
  <c r="K59" i="14"/>
  <c r="J60" i="14"/>
  <c r="K60" i="14"/>
  <c r="J61" i="14"/>
  <c r="K61" i="14"/>
  <c r="J62" i="14"/>
  <c r="K62" i="14"/>
  <c r="J63" i="14"/>
  <c r="K63" i="14"/>
  <c r="J64" i="14"/>
  <c r="K64" i="14"/>
  <c r="K38" i="14"/>
  <c r="J38" i="14"/>
  <c r="K8" i="14"/>
  <c r="K9" i="14"/>
  <c r="K10" i="14"/>
  <c r="K11" i="14"/>
  <c r="K12" i="14"/>
  <c r="K13" i="14"/>
  <c r="K14" i="14"/>
  <c r="K15" i="14"/>
  <c r="K16" i="14"/>
  <c r="K17" i="14"/>
  <c r="K18" i="14"/>
  <c r="K19" i="14"/>
  <c r="K20" i="14"/>
  <c r="K21" i="14"/>
  <c r="K22" i="14"/>
  <c r="K23" i="14"/>
  <c r="K24" i="14"/>
  <c r="K25" i="14"/>
  <c r="K26" i="14"/>
  <c r="K27" i="14"/>
  <c r="K28" i="14"/>
  <c r="K29" i="14"/>
  <c r="K30" i="14"/>
  <c r="K31" i="14"/>
  <c r="K32" i="14"/>
  <c r="K33"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7" i="14"/>
  <c r="K7" i="14"/>
  <c r="E70" i="14" l="1"/>
  <c r="H72" i="14"/>
  <c r="G72" i="14"/>
  <c r="H71" i="14"/>
  <c r="E71" i="14"/>
  <c r="G69"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38"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H8" i="14"/>
  <c r="H9" i="14"/>
  <c r="H11" i="14"/>
  <c r="H12" i="14"/>
  <c r="H13" i="14"/>
  <c r="H14" i="14"/>
  <c r="H15" i="14"/>
  <c r="H16" i="14"/>
  <c r="H17" i="14"/>
  <c r="H18" i="14"/>
  <c r="H19" i="14"/>
  <c r="H20" i="14"/>
  <c r="H21" i="14"/>
  <c r="H22" i="14"/>
  <c r="H23" i="14"/>
  <c r="H24" i="14"/>
  <c r="H25" i="14"/>
  <c r="H26" i="14"/>
  <c r="H27" i="14"/>
  <c r="H28" i="14"/>
  <c r="H29" i="14"/>
  <c r="H30" i="14"/>
  <c r="H31" i="14"/>
  <c r="H32" i="14"/>
  <c r="H33" i="14"/>
  <c r="H10" i="14" l="1"/>
  <c r="H7" i="14"/>
  <c r="H34" i="14" s="1"/>
  <c r="E69" i="14"/>
  <c r="F69" i="14" l="1"/>
  <c r="BF55" i="12"/>
  <c r="BF14" i="12"/>
  <c r="BF12" i="12"/>
  <c r="BF11" i="12" s="1"/>
  <c r="Z38" i="14"/>
  <c r="H6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Katie Smith</author>
    <author>Katie Eisenbrown</author>
  </authors>
  <commentList>
    <comment ref="C27" authorId="0" shapeId="0" xr:uid="{E135E3CF-64BE-49B6-9DF0-2480CCF15D7F}">
      <text>
        <r>
          <rPr>
            <sz val="8"/>
            <color indexed="81"/>
            <rFont val="Tahoma"/>
            <family val="2"/>
          </rPr>
          <t>Biomass CO2 emissions are not reported as part of steam emissions which reference this col.</t>
        </r>
      </text>
    </comment>
    <comment ref="F27" authorId="1" shapeId="0" xr:uid="{53F427C8-7547-41EF-A394-DF4C1A55977A}">
      <text>
        <r>
          <rPr>
            <sz val="9"/>
            <color indexed="81"/>
            <rFont val="Tahoma"/>
            <family val="2"/>
          </rPr>
          <t>Biomass CO2 emissions are reported separately for stationary combustion which reference this col.</t>
        </r>
      </text>
    </comment>
    <comment ref="C29" authorId="0" shapeId="0" xr:uid="{F2B6BDC7-C5A2-48D7-B0D9-9E50B8D8B7FD}">
      <text>
        <r>
          <rPr>
            <sz val="8"/>
            <color indexed="81"/>
            <rFont val="Tahoma"/>
            <family val="2"/>
          </rPr>
          <t>Biomass CO2 emissions are not reported as part of steam emissions which reference this col.</t>
        </r>
      </text>
    </comment>
    <comment ref="F29" authorId="1" shapeId="0" xr:uid="{7F8A335B-59DA-4E3E-BC09-BDF255C7878E}">
      <text>
        <r>
          <rPr>
            <sz val="9"/>
            <color indexed="81"/>
            <rFont val="Tahoma"/>
            <family val="2"/>
          </rPr>
          <t>Biomass CO2 emissions are reported separately for stationary combustion which reference this col.</t>
        </r>
      </text>
    </comment>
  </commentList>
</comments>
</file>

<file path=xl/sharedStrings.xml><?xml version="1.0" encoding="utf-8"?>
<sst xmlns="http://schemas.openxmlformats.org/spreadsheetml/2006/main" count="3226" uniqueCount="1118">
  <si>
    <t>This questionaire is designed as a simplified calculation tool to help organizations estimate and inventory their environmental impacts for US-based operations. The questionaire is designed to help estimate the direct and indirect impacts from sources within an organization as activity data is entered into the various sections of the worksheet for a reporting period.</t>
  </si>
  <si>
    <t>Before entering data, please enable macros!</t>
  </si>
  <si>
    <t>There are three primary steps in completing a Lifecycle Inventory.</t>
  </si>
  <si>
    <r>
      <rPr>
        <b/>
        <sz val="11"/>
        <rFont val="Frutiger LT Com 45 Light"/>
        <family val="2"/>
        <scheme val="minor"/>
      </rPr>
      <t>I. DEFINE BOUNDARIES</t>
    </r>
    <r>
      <rPr>
        <sz val="11"/>
        <rFont val="Frutiger LT Com 45 Light"/>
        <family val="2"/>
        <scheme val="minor"/>
      </rPr>
      <t>: The first step in completing a</t>
    </r>
    <r>
      <rPr>
        <i/>
        <sz val="11"/>
        <rFont val="Frutiger LT Com 45 Light"/>
        <family val="2"/>
        <scheme val="minor"/>
      </rPr>
      <t xml:space="preserve"> </t>
    </r>
    <r>
      <rPr>
        <sz val="11"/>
        <rFont val="Frutiger LT Com 45 Light"/>
        <family val="2"/>
        <scheme val="minor"/>
      </rPr>
      <t>Lifecycle Inventory is to determine the organizational boundaries. Determine which processess and scopes you want included in your LCI. Also consider what data is available to you. The sheet "Further Information" can help you get a better overview.</t>
    </r>
  </si>
  <si>
    <r>
      <rPr>
        <b/>
        <sz val="11"/>
        <rFont val="Frutiger LT Com 45 Light"/>
        <family val="2"/>
        <scheme val="minor"/>
      </rPr>
      <t>II. COLLECT DATA</t>
    </r>
    <r>
      <rPr>
        <sz val="11"/>
        <rFont val="Frutiger LT Com 45 Light"/>
        <family val="2"/>
        <scheme val="minor"/>
      </rPr>
      <t>: The second step is to collect data for the defined reporting period. We built this questionaire to speed up the data collection process as much as possible.</t>
    </r>
  </si>
  <si>
    <r>
      <rPr>
        <b/>
        <sz val="11"/>
        <rFont val="Frutiger LT Com 45 Light"/>
        <family val="2"/>
        <scheme val="minor"/>
      </rPr>
      <t>III. QUANTIFY IMPACT</t>
    </r>
    <r>
      <rPr>
        <sz val="11"/>
        <rFont val="Frutiger LT Com 45 Light"/>
        <family val="2"/>
        <scheme val="minor"/>
      </rPr>
      <t xml:space="preserve">: The third step is to calculate the environmental impact - this is done for you by the calculator. Once the user enters data into this MS Excel spreadsheet, the impacts are calculated and totalled on the 'Results' sheet. </t>
    </r>
  </si>
  <si>
    <t>What impact factors should be included in your Lifecycle inventory?</t>
  </si>
  <si>
    <t>Depending on how much data is available to you and how thourough you want your Lifecycle inventory to be, this calculator can only include Scope 1&amp;2 impact factors, such as electrical power and water usage, greenhous gas emissions from combustion facilites within your organization or by vehicles owned or leased by your organization.</t>
  </si>
  <si>
    <t>If there is more data available to you and you want your LCI to be more thorough, you an also include Scope 3 impact factors. These include external transportation, waste disposal handled by external contractors or the resulting resource depletions associated with raw materials.</t>
  </si>
  <si>
    <t>For more information what Scope includes which impact factors, look at the helpsheet "Furhter information".</t>
  </si>
  <si>
    <t>Do you wat to evaluate only Scope 1&amp;2 impact factors, or should Scope 3 also be included?</t>
  </si>
  <si>
    <t>If a process (i.e. 'Company owned Transport') does not apply to your organization, you don'nt have any data on it, or don't want to include it in your LCI, you can always skip it with the butten on the respective sheet.</t>
  </si>
  <si>
    <t>Click the "Next Step" Button, when you are ready to proceed.</t>
  </si>
  <si>
    <t>Should you have accidentally skipped a process, you can always use this butten to restore all categories.</t>
  </si>
  <si>
    <t>Calculator Guidance - Important Information</t>
  </si>
  <si>
    <t>Navigate to the data entry sheets below. After answering the boundary condition questions, only the data entry sheets relevant to your organization will be shown. On the data entry sheets, enter data in yellow cells only. Help on entering the data is provided on each sheet.</t>
  </si>
  <si>
    <t>Data must be entered in the units specified on the data entry sheets. Use the "Unit Conversions" sheet if unit conversion is necessary prior to entering data into the Calculator.</t>
  </si>
  <si>
    <t>If you need more information on what organizational processes contribute to which impact factors, consult the sheet "Further Information".</t>
  </si>
  <si>
    <t>Sources</t>
  </si>
  <si>
    <t>All Data on Greenhouse Gas emissions stems from the U.S. Environmenta Protetction Agency: https://www.epa.gov/ghgreporting</t>
  </si>
  <si>
    <t>Data for all the other impact factors stems from the ReCiPe Report 2017: https://pre-sustainability.com/legacy/download/Report_ReCiPe_2017.pdf</t>
  </si>
  <si>
    <t xml:space="preserve">Data on commuting stems from the 2021 Report of the U.S. Census Bureau: https://www.census.gov/topics/employment/commuting/guidance/acs-1yr.html </t>
  </si>
  <si>
    <t>Greenhous Gas emissions associated with raw materials are calculated with the MFI tool from the National Renewable Energy Laboratory: https://mfitool.nrel.gov/my/app_users/sign_in</t>
  </si>
  <si>
    <t>General Information</t>
  </si>
  <si>
    <t>Use this sheet to enter the general information about your organizational structure.</t>
  </si>
  <si>
    <t>Please define the boundary conditions of your organization.</t>
  </si>
  <si>
    <t>A reporting period should usually be one calender or fiscal year.</t>
  </si>
  <si>
    <t>Name of organization</t>
  </si>
  <si>
    <t>No. of employees</t>
  </si>
  <si>
    <t>Reporting period [mm/yyyy-mm/yyyy]</t>
  </si>
  <si>
    <t>No. of plants</t>
  </si>
  <si>
    <t>Give each plant a unique ID. This ID will be kept track of in the further process. Please include every plant of your organization.</t>
  </si>
  <si>
    <t>Use the map below to choose the appropriate region and select it from the dropdown menu for each pant.</t>
  </si>
  <si>
    <t>Please enter the electrical- and water consumption, as well as the built up area for each location (called "Plant") of your organization.</t>
  </si>
  <si>
    <t>You should find your water and power usage on your water or power bill.</t>
  </si>
  <si>
    <t>ID</t>
  </si>
  <si>
    <t>Plant</t>
  </si>
  <si>
    <t>Region</t>
  </si>
  <si>
    <t>Electrical Consumption (MWh)</t>
  </si>
  <si>
    <t>Water Consumption (Gallons)</t>
  </si>
  <si>
    <t>Area (Sq. feet)</t>
  </si>
  <si>
    <t>No. Of employees</t>
  </si>
  <si>
    <t>Company owned Transport</t>
  </si>
  <si>
    <t xml:space="preserve">Use this sheet to calculate the greenhouse gas emissions of your company owned fleet of vehicles </t>
  </si>
  <si>
    <t>Enter the fuel consumption of thew vehicles owned by your organization.</t>
  </si>
  <si>
    <t>Only enter the data for vehicles owned or leased by your organization.</t>
  </si>
  <si>
    <t>Your accounting department or fuel provider should be able to help you collect this data.</t>
  </si>
  <si>
    <t>If no fuel consumption data is available, you can estimate it using the no. of vehicles in your organization and the average fuel consumption table below.</t>
  </si>
  <si>
    <t>Type of Fuel</t>
  </si>
  <si>
    <t>Fuel consuption</t>
  </si>
  <si>
    <t>Units</t>
  </si>
  <si>
    <t/>
  </si>
  <si>
    <t>Vehicle Type</t>
  </si>
  <si>
    <t>Average Fuel Economy (mpg)</t>
  </si>
  <si>
    <t>Passenger cars</t>
  </si>
  <si>
    <t>Motorcycles</t>
  </si>
  <si>
    <t>Diesel buses (diesel heavy-duty vehicles)</t>
  </si>
  <si>
    <t>Other 2-axle, 4-tire vehicles</t>
  </si>
  <si>
    <t>Single unit 2-axle 6-tire or more trucks</t>
  </si>
  <si>
    <t>Combination trucks</t>
  </si>
  <si>
    <t>Average mpg values from the U.S. Department of Transportation, Federal Highway Administration, Highway Statistics 2020 (November 2022), Table VM-1.</t>
  </si>
  <si>
    <t>External Transportation</t>
  </si>
  <si>
    <t xml:space="preserve">Use this sheet to calculate the greenhouse gas emissions of external up- and downstream transportation </t>
  </si>
  <si>
    <t>Enter the data for goods transported by outside contractors.</t>
  </si>
  <si>
    <t>Select the type of vehicle used from the dropdown menu, enter the amount in short tons and the distance goods are being transported.</t>
  </si>
  <si>
    <t>Make sure all transportation segments are included.</t>
  </si>
  <si>
    <t>Your shipping or accounting department or shiping cotractor should be able to help you collect this data.</t>
  </si>
  <si>
    <t>Type of Vehicle</t>
  </si>
  <si>
    <t>Amount (short Tons)</t>
  </si>
  <si>
    <t>Distance (Miles)</t>
  </si>
  <si>
    <t>Business Travel</t>
  </si>
  <si>
    <t>Use this sheet to calculate the greenhouse gas emissions resulting from business travel</t>
  </si>
  <si>
    <t>Enter the data for employee business travel.</t>
  </si>
  <si>
    <t>Select the type of vehicle from the dropdown menu and enter the distance traveled.</t>
  </si>
  <si>
    <t>If employees travel by car, enter vehicle-miles. For travel by any other type of transport enter passenger-miles.</t>
  </si>
  <si>
    <t>(Example calculation: 4 employees driving 300 miles together in one car = 300 miles | 4 employees flying 300 miles = 1200 miles)</t>
  </si>
  <si>
    <t>You should be able to colect this data with the help of the accounting department.</t>
  </si>
  <si>
    <t>Stationary Combustion</t>
  </si>
  <si>
    <t>Use this sheet to calculate the greenhouse gas emissions as well as the associated fossil resource scarcity from stationary combustion processes</t>
  </si>
  <si>
    <t>Enter the data for each combustion facility.</t>
  </si>
  <si>
    <t>Select "type of fuel" from the dropdown menu and enter the quantity combusted.</t>
  </si>
  <si>
    <t>The required unit will be filled out after you select a type of fuel.</t>
  </si>
  <si>
    <t>You should be able to collect this data from your combustion facilities, your fuel supplier or the accounting department.</t>
  </si>
  <si>
    <t>Consumption</t>
  </si>
  <si>
    <t>Unit</t>
  </si>
  <si>
    <t>Purchased Gases, Refrigerants and CHCs</t>
  </si>
  <si>
    <t>Use this sheet to calculate emissions from gases, refrigerants and chlorinated hydrocarbons (CHCs)</t>
  </si>
  <si>
    <t>Enter the amount of gas, refrigerant or chlorinated hydrocarbon bought by your organization in the reporting period.</t>
  </si>
  <si>
    <t>If your organization buys gases or refrigerants in bulk to use for several years, divide the bulk amount by the years of usage and enter that amount.</t>
  </si>
  <si>
    <t>You should be able to collect this data with the help of your gas suppliers or the accounting department.</t>
  </si>
  <si>
    <t>Choose the type of gas or refrigerant from the dropdown menu and enter the amount used.</t>
  </si>
  <si>
    <t>Choose the type of blended refrigerant from the dropdown menu and enter the amount used.</t>
  </si>
  <si>
    <t>Enter the type and amount of CHCs used.</t>
  </si>
  <si>
    <t>Gases and Refrigerants</t>
  </si>
  <si>
    <t>Blended Refrigerants</t>
  </si>
  <si>
    <t>Chlorinated Hydrocarbons</t>
  </si>
  <si>
    <t>Type of gas</t>
  </si>
  <si>
    <t>Amount (lbs)</t>
  </si>
  <si>
    <t>Type of blended refrigerant</t>
  </si>
  <si>
    <t>Type of CHC</t>
  </si>
  <si>
    <t>Raw Material Usage</t>
  </si>
  <si>
    <t>Use this sheet to calculate the greenhouse gas emissions and surplus ore potentials associated with raw materials used</t>
  </si>
  <si>
    <t>Select a type of raw material and enter the amount used in the reporting period.</t>
  </si>
  <si>
    <t>To help you with this, the next sheet 'Help - Raw Materials' Includes a list of Raw Materials in different Material groups.</t>
  </si>
  <si>
    <t>You should be able to get this data from your raw materials suppliers or your accounting department.</t>
  </si>
  <si>
    <t>Should you use raw materials that are not listed below, please list them in the spaces below the table.</t>
  </si>
  <si>
    <t>Type of raw material</t>
  </si>
  <si>
    <t>Clay, Expanded</t>
  </si>
  <si>
    <t>Space for Raw Materials not listed above</t>
  </si>
  <si>
    <t>Help - Raw Materials</t>
  </si>
  <si>
    <t>This sheet will  help you to more easily take Inventory of your raw material usage</t>
  </si>
  <si>
    <t xml:space="preserve">Metals </t>
  </si>
  <si>
    <t>Plastics and Rubber</t>
  </si>
  <si>
    <t xml:space="preserve">Non Metallic Minerals </t>
  </si>
  <si>
    <t>Carbon Products</t>
  </si>
  <si>
    <t>Alumina</t>
  </si>
  <si>
    <t>Acetal Homopolymer</t>
  </si>
  <si>
    <t>Barite</t>
  </si>
  <si>
    <t>Carbon Fiber</t>
  </si>
  <si>
    <t>Aluminum</t>
  </si>
  <si>
    <t>Acrylic Binder</t>
  </si>
  <si>
    <t>Brick</t>
  </si>
  <si>
    <t>Carbon Fiber Reinforced Plastic</t>
  </si>
  <si>
    <t>Brass</t>
  </si>
  <si>
    <t>Acrylonitrile Butadiene Styrene, Resin</t>
  </si>
  <si>
    <t>Calcium Oxide</t>
  </si>
  <si>
    <t>Graphite</t>
  </si>
  <si>
    <t>Bronze</t>
  </si>
  <si>
    <t>Alkyd Resin</t>
  </si>
  <si>
    <t>Cement, Portland</t>
  </si>
  <si>
    <t>Graphite Fiber</t>
  </si>
  <si>
    <t>Cadmium</t>
  </si>
  <si>
    <t>Amorphous Fluoropolymer</t>
  </si>
  <si>
    <t>Chromium</t>
  </si>
  <si>
    <t>Anion Exchange Resin</t>
  </si>
  <si>
    <t>Clinker</t>
  </si>
  <si>
    <t>Cobalt</t>
  </si>
  <si>
    <t>Butyl Rubber</t>
  </si>
  <si>
    <t>Concrete</t>
  </si>
  <si>
    <t>Copper</t>
  </si>
  <si>
    <t>Cation Exchange Resin</t>
  </si>
  <si>
    <t>Glass Fiber</t>
  </si>
  <si>
    <t>Copper Telluride Cement</t>
  </si>
  <si>
    <t>Elastomer, Copolyester-Ether</t>
  </si>
  <si>
    <t>Glass, Flat, Coated</t>
  </si>
  <si>
    <t>Ferritic Steel</t>
  </si>
  <si>
    <t>Elastomer, Epichlorohydrin</t>
  </si>
  <si>
    <t>Glass, Flat, Uncoated</t>
  </si>
  <si>
    <t>Ferrochromium, High-Carbon, 68% Cr</t>
  </si>
  <si>
    <t>Elastomer, Polyamide</t>
  </si>
  <si>
    <t>Glass, Solar, Tempered</t>
  </si>
  <si>
    <t>Ferromanganese, High-Coal, 74.5% Mn</t>
  </si>
  <si>
    <t>Elastomer, Polyolefin</t>
  </si>
  <si>
    <t>Kaolin</t>
  </si>
  <si>
    <t>Ferronickel, 25% Ni</t>
  </si>
  <si>
    <t>Elastomer, Polyurethane</t>
  </si>
  <si>
    <t>Kaolin, Ultrafine</t>
  </si>
  <si>
    <t>Gold</t>
  </si>
  <si>
    <t>Elastomer, Styrene-Isoprene-Styrene</t>
  </si>
  <si>
    <t>Lime</t>
  </si>
  <si>
    <t>Iron</t>
  </si>
  <si>
    <t>Epoxy Cresin Novolac, Resin</t>
  </si>
  <si>
    <t>Lime, Hydrated</t>
  </si>
  <si>
    <t>Lead</t>
  </si>
  <si>
    <t>Epoxy Phenol Novolac, Resin</t>
  </si>
  <si>
    <t>Refractory, Basic</t>
  </si>
  <si>
    <t>Lithium</t>
  </si>
  <si>
    <t>Ethylene Dichloride-Vinyl Chloride Monomer</t>
  </si>
  <si>
    <t>Refractory, Fireclay</t>
  </si>
  <si>
    <t>Magnesium</t>
  </si>
  <si>
    <t>Ethylene Propylene Diene Monomer, Rubber</t>
  </si>
  <si>
    <t>Refractory, High Aluminum Oxide</t>
  </si>
  <si>
    <t>Manganese</t>
  </si>
  <si>
    <t>Ethylene Vinyl Alcohol, Resin</t>
  </si>
  <si>
    <t>Silicon, High Purity</t>
  </si>
  <si>
    <t>Mercury</t>
  </si>
  <si>
    <t>Ethyl Methacrylate</t>
  </si>
  <si>
    <t>Vermiculite</t>
  </si>
  <si>
    <t>Molybdenum</t>
  </si>
  <si>
    <t>Film, HP, Liquid Crystal Polymer</t>
  </si>
  <si>
    <t>Nbti/Cu Wire</t>
  </si>
  <si>
    <t>Film, HP, Polyarylate</t>
  </si>
  <si>
    <t>Nickel</t>
  </si>
  <si>
    <t>Film, HP, Polyetheretherketone</t>
  </si>
  <si>
    <t>Palladium</t>
  </si>
  <si>
    <t>Film, HP, Polyetherimide</t>
  </si>
  <si>
    <t>Platinum</t>
  </si>
  <si>
    <t>Film, HP, Polyethersulfone</t>
  </si>
  <si>
    <t>Phosphorus</t>
  </si>
  <si>
    <t>Film, HP, Polyphenylene Sulfide</t>
  </si>
  <si>
    <t>Silicon</t>
  </si>
  <si>
    <t>Film, PL, Agricultural</t>
  </si>
  <si>
    <t>Silver</t>
  </si>
  <si>
    <t>Film, PL, FEP and PFA</t>
  </si>
  <si>
    <t>Steel, Alloyed</t>
  </si>
  <si>
    <t>Film, PL, HDPE, Blown</t>
  </si>
  <si>
    <t>Steel, Stainless</t>
  </si>
  <si>
    <t>Film, PL, LDPE, Blown</t>
  </si>
  <si>
    <t>Steel, Ultra High Strength</t>
  </si>
  <si>
    <t>Film, PL, LLDPE, Blown</t>
  </si>
  <si>
    <t>Steel, Unalloyed</t>
  </si>
  <si>
    <t>Film, PL, PE, Blown</t>
  </si>
  <si>
    <t>Tellurium</t>
  </si>
  <si>
    <t>Film, PL, PET, Biax Oriented</t>
  </si>
  <si>
    <t>Tin</t>
  </si>
  <si>
    <t>Film, PL, PET, Microporous</t>
  </si>
  <si>
    <t>Titanium</t>
  </si>
  <si>
    <t>Film, PL, Polycarbonate</t>
  </si>
  <si>
    <t>Tungsten</t>
  </si>
  <si>
    <t>Film, PL, Polyimide</t>
  </si>
  <si>
    <t>Vanadium</t>
  </si>
  <si>
    <t>Film, PL, PP, Biax Oriented</t>
  </si>
  <si>
    <t>Zinc</t>
  </si>
  <si>
    <t>Film, PL, PP, Other</t>
  </si>
  <si>
    <t>Zircon, 50% Zirconium</t>
  </si>
  <si>
    <t>Film, PL, PVC, Agricultural</t>
  </si>
  <si>
    <t>Zirconia</t>
  </si>
  <si>
    <t>Film, Specialty Plastic</t>
  </si>
  <si>
    <t>Rare Earth Metals</t>
  </si>
  <si>
    <t>Foam, Soy Bio-Hybrid</t>
  </si>
  <si>
    <t>Glass Fiber Reinforced Plastic</t>
  </si>
  <si>
    <t>High Density Polyethylene, Dissolution Recycled, Pellet</t>
  </si>
  <si>
    <t>High Density Polyethylene, Gasification Recycled, Pellet</t>
  </si>
  <si>
    <t>High Density Polyethylene, Mechanically Recycled, Flake</t>
  </si>
  <si>
    <t>High Density Polyethylene, Pyrolysis Recycled, Pellet</t>
  </si>
  <si>
    <t>Ion Exchange Resin</t>
  </si>
  <si>
    <t>Low Density Polyethylene, Dissolution Recycled, Pellet</t>
  </si>
  <si>
    <t>Low Density Polyethylene, Gasification Recycled, Pellet</t>
  </si>
  <si>
    <t>Low Density Polyethylene, Mechanically Recycled, Pellet</t>
  </si>
  <si>
    <t>Low Density Polyethylene, Pyrolysis Recycled, Pellet</t>
  </si>
  <si>
    <t>MDI And PMPPI</t>
  </si>
  <si>
    <t>Melamine</t>
  </si>
  <si>
    <t>Methylene Diphenyl Diisocyanate, Resin</t>
  </si>
  <si>
    <t>Methyl Methacrylate</t>
  </si>
  <si>
    <t>Methyl Styrene Acrylonitrile Resin</t>
  </si>
  <si>
    <t>Mixed Methyl Esters</t>
  </si>
  <si>
    <t>Mixed Polyesters</t>
  </si>
  <si>
    <t>Nafion Membrane</t>
  </si>
  <si>
    <t>Nafion, Recycled</t>
  </si>
  <si>
    <t>Nitrile Barrier Resin</t>
  </si>
  <si>
    <t>Nylon 4,6</t>
  </si>
  <si>
    <t>Nylon 6,10</t>
  </si>
  <si>
    <t>Nylon 612, Chips</t>
  </si>
  <si>
    <t>Nylon 66, Chips</t>
  </si>
  <si>
    <t>Nylon 66, Resin</t>
  </si>
  <si>
    <t>Nylon 6, Bka</t>
  </si>
  <si>
    <t>Nylon 6, Chips</t>
  </si>
  <si>
    <t>Nylon 6, Melt</t>
  </si>
  <si>
    <t>Nylon, Salt, 63% Solution</t>
  </si>
  <si>
    <t>Nylon, Salt, Solid</t>
  </si>
  <si>
    <t>Perfluoroalkoxy, Resin</t>
  </si>
  <si>
    <t>Phenol Formaldehyde</t>
  </si>
  <si>
    <t>PL Film, PP, Microporous</t>
  </si>
  <si>
    <t>Polyacrylamide, Anionic, Mw = 10 Million</t>
  </si>
  <si>
    <t>Polyacrylamide, Anionic, Mw = 20 Million</t>
  </si>
  <si>
    <t>Polyacrylamide, Anionic, Mw = 7-15 Million</t>
  </si>
  <si>
    <t>Polyacrylamide, Anionic, Solid, Mw = 7 Million</t>
  </si>
  <si>
    <t>Polyacrylamide, Cationic, Mw = 10 Million</t>
  </si>
  <si>
    <t>Polyacrylamide, Nonionic, Mw = 7 Million</t>
  </si>
  <si>
    <t>Polyacrylate, Latex</t>
  </si>
  <si>
    <t>Polyacrylate, Latex, Mma-Ba-Hema-Aa</t>
  </si>
  <si>
    <t>Polyacrylate, Pellets, Mma-Ma-St</t>
  </si>
  <si>
    <t>Polyacrylate, Resin</t>
  </si>
  <si>
    <t>Polyacrylate, Resin, Mma-Ea-Hema</t>
  </si>
  <si>
    <t>Polyacrylate, Resin, Mma-Ema-Mac</t>
  </si>
  <si>
    <t>Polyacrylate, Resin, Superabsorbent</t>
  </si>
  <si>
    <t>Polyacrylic Acid, High Molecular Weight</t>
  </si>
  <si>
    <t>Polyalphaolefin</t>
  </si>
  <si>
    <t>Polybutadiene</t>
  </si>
  <si>
    <t>Polybutene-1</t>
  </si>
  <si>
    <t>Polybutylene Terephthalate, Pellets</t>
  </si>
  <si>
    <t>Polybutylene Terephthalate, Pellets, 30% Glass Filled</t>
  </si>
  <si>
    <t>Polycarbonate</t>
  </si>
  <si>
    <t>Polycarbonate, Generic Am Part</t>
  </si>
  <si>
    <t>Polycarbonate, Polyester</t>
  </si>
  <si>
    <t>Polychlorinated Terphenyls, Pellets</t>
  </si>
  <si>
    <t>Poly(Delta Valerolactone)</t>
  </si>
  <si>
    <t>Polyester, Unsaturated</t>
  </si>
  <si>
    <t>Polyetheretherketone</t>
  </si>
  <si>
    <t>Polyetherimide</t>
  </si>
  <si>
    <t>Polyethersulfone</t>
  </si>
  <si>
    <t>Polyethylene 2,6-Naphthalate</t>
  </si>
  <si>
    <t>Polyethylene, High Density</t>
  </si>
  <si>
    <t>Polyethylene, High Density, Pellets, Postconsumer</t>
  </si>
  <si>
    <t>Polyethylene, Linear Low Density</t>
  </si>
  <si>
    <t>Polyethylene, Linear Low Density, Injection Molded Part</t>
  </si>
  <si>
    <t>Polyethylene, Low Density</t>
  </si>
  <si>
    <t>Polyethylene, Low Density, Injection Molded Part</t>
  </si>
  <si>
    <t>Polyethylene Terephthalate</t>
  </si>
  <si>
    <t>Polyethylene Terephthalate, Deconstructed</t>
  </si>
  <si>
    <t>Polyethylene Terephthalate, Dissolution Recycled, Pellet</t>
  </si>
  <si>
    <t>Polyethylene Terephthalate, Enzymatically Recycled, Pellet</t>
  </si>
  <si>
    <t>Polyethylene Terephthalate, Fiber</t>
  </si>
  <si>
    <t>Polyethylene Terephthalate, Flake, Postconsumer</t>
  </si>
  <si>
    <t>Polyethylene Terephthalate, Gasification Recycled, Pellet</t>
  </si>
  <si>
    <t>Polyethylene Terephthalate, Glycolysis Recycled, Pellet</t>
  </si>
  <si>
    <t>Polyethylene Terephthalate, Methanolysis Recycling, Pellet</t>
  </si>
  <si>
    <t>Polyethylene Terephthalate, Pellets</t>
  </si>
  <si>
    <t>Polyethylene Terephthalate, Pellets, 30% Glass Filled</t>
  </si>
  <si>
    <t>Polyethylene Terephthalate, Pellets, Amorphous</t>
  </si>
  <si>
    <t>Polyethylene Terephthalate, Pellets, Bottle Grade</t>
  </si>
  <si>
    <t>Polyethylene Terephthalate, Pellets, Glycol Modified</t>
  </si>
  <si>
    <t>Polyethylene Terephthalate, Pellets, Postconsumer</t>
  </si>
  <si>
    <t>Polyethylene Terephthalate, Pellets, Specialty</t>
  </si>
  <si>
    <t>Polyethylene Terephthalate, Pyrolysis Recycled, Pellet</t>
  </si>
  <si>
    <t>Polyethylene, Very Low Density</t>
  </si>
  <si>
    <t>Poly(Ethyl Muconate Ester)</t>
  </si>
  <si>
    <t>Polyhydroxyalkanoates</t>
  </si>
  <si>
    <t>Polyhydroxybutyrates</t>
  </si>
  <si>
    <t>Polyisobutylene</t>
  </si>
  <si>
    <t>Polyisobutylene Succinic Anhydride (Pibsa)</t>
  </si>
  <si>
    <t>Polyisocyanurate Rigid Foam</t>
  </si>
  <si>
    <t>Polymer, Degradable</t>
  </si>
  <si>
    <t>Polymer, Degradable, Starch, Polycaprolactone</t>
  </si>
  <si>
    <t>Polymer, R-Pet</t>
  </si>
  <si>
    <t>Polymethylene Polyphenylene Polyamine</t>
  </si>
  <si>
    <t>Poly(Methyl Methacrylate)</t>
  </si>
  <si>
    <t>Poly(Methyl Methacrylate), Pellets</t>
  </si>
  <si>
    <t>Poly(Methyl Methacrylate), Sheets</t>
  </si>
  <si>
    <t>Polyolefins, Flake, Postconsumer, Includes Collection-Mrf</t>
  </si>
  <si>
    <t>Polyol, Polyester</t>
  </si>
  <si>
    <t>Polyol, Trifunc Polyether</t>
  </si>
  <si>
    <t>Polyphenylene Sulfide, Neat</t>
  </si>
  <si>
    <t>Polypropylene, Blends</t>
  </si>
  <si>
    <t>Poly(Propylene Carbonate)</t>
  </si>
  <si>
    <t>Polypropylene/Clay Nanocomposites</t>
  </si>
  <si>
    <t>Polypropylene, Copolymer</t>
  </si>
  <si>
    <t>Polypropylene, Dissolution Recycled, Pellet</t>
  </si>
  <si>
    <t>Polypropylene, Fiber</t>
  </si>
  <si>
    <t>Polypropylene, Gasification Recycled, Pellet</t>
  </si>
  <si>
    <t>Polypropylene, Homopolymer</t>
  </si>
  <si>
    <t>Polypropylene, Injection Molded Part</t>
  </si>
  <si>
    <t>Polypropylene, Mechanically Recycled, Pellet</t>
  </si>
  <si>
    <t>Polypropylene, Pyrolysis Recycled, Pellet</t>
  </si>
  <si>
    <t>Poly(Styrene/Alpha-Methylstyrene/Acrylic Acid)</t>
  </si>
  <si>
    <t>Polystyrene, Beads</t>
  </si>
  <si>
    <t>Poly(Styrene-Divinylbenzene)</t>
  </si>
  <si>
    <t>Polystyrene, General Purpose</t>
  </si>
  <si>
    <t>Polystyrene, High Impact</t>
  </si>
  <si>
    <t>Poly(Styrene-Maleic Anhydride)</t>
  </si>
  <si>
    <t>Poly(Styrene-Methyl Methacrylate)</t>
  </si>
  <si>
    <t>Polystyrene, Other</t>
  </si>
  <si>
    <t>Polystyrene, Syndiotactic</t>
  </si>
  <si>
    <t>Polyurethane, Foam, Boardstock</t>
  </si>
  <si>
    <t>Polyurethane, Foam, Slabstock</t>
  </si>
  <si>
    <t>Polyurethane, Rim</t>
  </si>
  <si>
    <t>Polyvinyl Acetate, Beads</t>
  </si>
  <si>
    <t>Polyvinyl Acetate Latex</t>
  </si>
  <si>
    <t>Polyvinyl Acetate, Pellets</t>
  </si>
  <si>
    <t>Polyvinyl Alcohol</t>
  </si>
  <si>
    <t>Polyvinyl Chloride</t>
  </si>
  <si>
    <t>Polyvinyl Chloride, Chlorinated</t>
  </si>
  <si>
    <t>Polyvinyl Chloride/Nitrile Rubber Blends</t>
  </si>
  <si>
    <t>Polyvinyl Fluoride</t>
  </si>
  <si>
    <t>Polyvinyl Fluoride, Dispersion</t>
  </si>
  <si>
    <t>Polyvinyl Fluoride, Film</t>
  </si>
  <si>
    <t>Polyvinylidene Difluoride</t>
  </si>
  <si>
    <t>Postconsumer Plastic Bale, At Mrf</t>
  </si>
  <si>
    <t>Propylenediamine</t>
  </si>
  <si>
    <t>Rosin Size</t>
  </si>
  <si>
    <t>Rubber, Natural</t>
  </si>
  <si>
    <t>Sodium Persulfate</t>
  </si>
  <si>
    <t>Styrene Acrylonitrile, Resin</t>
  </si>
  <si>
    <t>Styrene-Butadiene Block Copolymer</t>
  </si>
  <si>
    <t>Styrene-Butadiene Rubber</t>
  </si>
  <si>
    <t>Styrene Butadiene, Star Block Copolymer</t>
  </si>
  <si>
    <t>Styrene-Maleic Anhydride Resin</t>
  </si>
  <si>
    <t>Vinyl Acetate</t>
  </si>
  <si>
    <t>Vinyl Chloride</t>
  </si>
  <si>
    <t>Vinyl Ester Resin</t>
  </si>
  <si>
    <t>Vinylidene Chloride Emulsion Copolymer</t>
  </si>
  <si>
    <t>Waste Disposal</t>
  </si>
  <si>
    <t>Use this sheet to calculate the greenhouse gas emissions from waste disposal</t>
  </si>
  <si>
    <t>Enter the amount and type of waste as well as the type of disposal from the respective dropdown menus. For more information about the types of disposal, see the definitions below.</t>
  </si>
  <si>
    <t>You should be able to get this information from your external waste procesing facility.</t>
  </si>
  <si>
    <t>Should you identify types of waste which are not included in the DropDown, please enter them in the spaces below the table.</t>
  </si>
  <si>
    <t>Type of material</t>
  </si>
  <si>
    <t>Type of Disposal</t>
  </si>
  <si>
    <t>Space for types of Waste not in the DropDown</t>
  </si>
  <si>
    <r>
      <rPr>
        <b/>
        <sz val="11"/>
        <color theme="1"/>
        <rFont val="Frutiger LT Com 45 Light"/>
        <family val="2"/>
        <scheme val="minor"/>
      </rPr>
      <t>Combustion or Incineration </t>
    </r>
    <r>
      <rPr>
        <sz val="11"/>
        <color theme="1"/>
        <rFont val="Frutiger LT Com 45 Light"/>
        <family val="2"/>
        <scheme val="minor"/>
      </rPr>
      <t>is a method of waste disposal that involves the combustion of waste. It may refer to incineration on land or at sea. Incineration with energy recovery refers to incineration processes where the energy created in the combustion process is harnessed for re-use, for example for power generation. Incineration without energy recovery means the heat generated by combustion is dissipated in the environment.</t>
    </r>
  </si>
  <si>
    <r>
      <rPr>
        <b/>
        <sz val="11"/>
        <color theme="1"/>
        <rFont val="Frutiger LT Com 45 Light"/>
        <family val="2"/>
        <scheme val="minor"/>
      </rPr>
      <t>Landfill</t>
    </r>
    <r>
      <rPr>
        <sz val="11"/>
        <color theme="1"/>
        <rFont val="Frutiger LT Com 45 Light"/>
        <family val="2"/>
        <scheme val="minor"/>
      </rPr>
      <t xml:space="preserve"> is the deposit of waste into or onto land. It includes specially engineered landfill sites and temporary storage of over one year on permanent sites. The definition covers both landfill in internal sites, i.e. where a generator of waste is carrying out its own waste disposal at the place of generation, and in external sites. Landfill is often simply referred to as deposit.</t>
    </r>
  </si>
  <si>
    <r>
      <rPr>
        <b/>
        <sz val="11"/>
        <color theme="1"/>
        <rFont val="Frutiger LT Com 45 Light"/>
        <family val="2"/>
        <scheme val="minor"/>
      </rPr>
      <t>Recycling</t>
    </r>
    <r>
      <rPr>
        <sz val="11"/>
        <color theme="1"/>
        <rFont val="Frutiger LT Com 45 Light"/>
        <family val="2"/>
        <scheme val="minor"/>
      </rPr>
      <t xml:space="preserve"> of waste is defined in the Waste Framework Directive as any recovery operation by which waste materials are reprocessed into products, materials or substances whether for the original or other purposes.
It includes the reprocessing of organic material but does not include energy recovery and the reprocessing into materials that are to be used as fuels or for backfilling operations.
</t>
    </r>
    <r>
      <rPr>
        <b/>
        <sz val="11"/>
        <color theme="1"/>
        <rFont val="Frutiger LT Com 45 Light"/>
        <family val="2"/>
        <scheme val="minor"/>
      </rPr>
      <t>Composting</t>
    </r>
    <r>
      <rPr>
        <sz val="11"/>
        <color theme="1"/>
        <rFont val="Frutiger LT Com 45 Light"/>
        <family val="2"/>
        <scheme val="minor"/>
      </rPr>
      <t xml:space="preserve"> is a category of recycling and is only possible for separately collected organic waste.</t>
    </r>
  </si>
  <si>
    <t>Reference: https://ec.europa.eu/eurostat/statistics-explained/index.php?title=Glossary:Waste</t>
  </si>
  <si>
    <t>Primary Energy Consumption</t>
  </si>
  <si>
    <t>Goods Transportation</t>
  </si>
  <si>
    <t>Personal Transportation</t>
  </si>
  <si>
    <t>Refrigerant/Gas/CHC Emissions</t>
  </si>
  <si>
    <t>Fine Particulate Matter Emissions</t>
  </si>
  <si>
    <t>Greenhouse Gases from Raw Material Usage</t>
  </si>
  <si>
    <t>Mineral and Fossil depletion</t>
  </si>
  <si>
    <t>Waste Disposal and Water Usage</t>
  </si>
  <si>
    <t>Electrical energy consumption</t>
  </si>
  <si>
    <t>Commuting</t>
  </si>
  <si>
    <t>Gases &amp; Refrigerants</t>
  </si>
  <si>
    <t>FPM emissions</t>
  </si>
  <si>
    <t>Raw material usage</t>
  </si>
  <si>
    <t>Surplus ore potentials from Mineral &amp; Metal Usage</t>
  </si>
  <si>
    <t>Waste disposal</t>
  </si>
  <si>
    <r>
      <t>CO</t>
    </r>
    <r>
      <rPr>
        <b/>
        <sz val="9"/>
        <color theme="1"/>
        <rFont val="Frutiger LT Com 45 Light"/>
        <family val="2"/>
        <scheme val="minor"/>
      </rPr>
      <t>2</t>
    </r>
  </si>
  <si>
    <r>
      <t>NH</t>
    </r>
    <r>
      <rPr>
        <b/>
        <sz val="9"/>
        <color theme="1"/>
        <rFont val="Frutiger LT Com 45 Light"/>
        <family val="2"/>
        <scheme val="minor"/>
      </rPr>
      <t>4</t>
    </r>
  </si>
  <si>
    <r>
      <t>N</t>
    </r>
    <r>
      <rPr>
        <b/>
        <sz val="9"/>
        <color theme="1"/>
        <rFont val="Frutiger LT Com 45 Light"/>
        <family val="2"/>
        <scheme val="minor"/>
      </rPr>
      <t>2</t>
    </r>
    <r>
      <rPr>
        <b/>
        <sz val="11"/>
        <color theme="1"/>
        <rFont val="Frutiger LT Com 45 Light"/>
        <family val="2"/>
        <scheme val="minor"/>
      </rPr>
      <t>O</t>
    </r>
  </si>
  <si>
    <r>
      <t>CO</t>
    </r>
    <r>
      <rPr>
        <b/>
        <sz val="9"/>
        <color theme="1"/>
        <rFont val="Frutiger LT Com 45 Light"/>
        <family val="2"/>
        <scheme val="minor"/>
      </rPr>
      <t>2</t>
    </r>
    <r>
      <rPr>
        <b/>
        <sz val="11"/>
        <color theme="1"/>
        <rFont val="Frutiger LT Com 45 Light"/>
        <family val="2"/>
        <scheme val="minor"/>
      </rPr>
      <t>Equivalents (metric Tons)</t>
    </r>
  </si>
  <si>
    <r>
      <t>CO</t>
    </r>
    <r>
      <rPr>
        <b/>
        <sz val="8"/>
        <color theme="1"/>
        <rFont val="Frutiger LT Com 45 Light"/>
        <family val="2"/>
        <scheme val="minor"/>
      </rPr>
      <t>2</t>
    </r>
  </si>
  <si>
    <t>FPM2.5 Equivalents (kg)</t>
  </si>
  <si>
    <r>
      <t>CO</t>
    </r>
    <r>
      <rPr>
        <b/>
        <sz val="9"/>
        <color theme="1"/>
        <rFont val="Frutiger LT Com 45 Light"/>
        <family val="2"/>
        <scheme val="minor"/>
      </rPr>
      <t>2</t>
    </r>
    <r>
      <rPr>
        <b/>
        <sz val="11"/>
        <color theme="1"/>
        <rFont val="Frutiger LT Com 45 Light"/>
        <family val="2"/>
        <scheme val="minor"/>
      </rPr>
      <t xml:space="preserve"> Equivalents (metric Tons)</t>
    </r>
  </si>
  <si>
    <t>Copper[Cu] Equivalents (metric Tons)</t>
  </si>
  <si>
    <r>
      <t>CO</t>
    </r>
    <r>
      <rPr>
        <b/>
        <sz val="9"/>
        <color theme="1"/>
        <rFont val="Frutiger LT Com 45 Light"/>
        <family val="2"/>
        <scheme val="minor"/>
      </rPr>
      <t>2</t>
    </r>
    <r>
      <rPr>
        <b/>
        <sz val="11"/>
        <color theme="1"/>
        <rFont val="Frutiger LT Com 45 Light"/>
        <family val="2"/>
        <scheme val="minor"/>
      </rPr>
      <t xml:space="preserve"> (metric Tons)</t>
    </r>
  </si>
  <si>
    <t xml:space="preserve">Fossil fuel potentials </t>
  </si>
  <si>
    <t>Water Usage</t>
  </si>
  <si>
    <t>Oil Equivalents (kg)</t>
  </si>
  <si>
    <t>Water use (Gallons)</t>
  </si>
  <si>
    <t>SUMME(</t>
  </si>
  <si>
    <t>Impact factors</t>
  </si>
  <si>
    <t>Scope 1</t>
  </si>
  <si>
    <t>Scope 2</t>
  </si>
  <si>
    <t>Scope 3</t>
  </si>
  <si>
    <t>Total</t>
  </si>
  <si>
    <t xml:space="preserve">Global warming   </t>
  </si>
  <si>
    <t>CO2 Equivalents</t>
  </si>
  <si>
    <t>metric ton</t>
  </si>
  <si>
    <t>CHC11 Equivalents (kg)</t>
  </si>
  <si>
    <t>Ozone depletion</t>
  </si>
  <si>
    <t>CHC11 Equivalents</t>
  </si>
  <si>
    <t>kg</t>
  </si>
  <si>
    <t>-</t>
  </si>
  <si>
    <t>Fine particulate matter</t>
  </si>
  <si>
    <t>FPM2.5 Equivalents</t>
  </si>
  <si>
    <t>Mineral resource scarcity</t>
  </si>
  <si>
    <t>Cu Equivalents</t>
  </si>
  <si>
    <t>Fossil resource scracity</t>
  </si>
  <si>
    <t>Oil Equivalents</t>
  </si>
  <si>
    <t>Land use</t>
  </si>
  <si>
    <t>acre</t>
  </si>
  <si>
    <t>Water use</t>
  </si>
  <si>
    <t>Unit Conversions</t>
  </si>
  <si>
    <t>Mass</t>
  </si>
  <si>
    <t xml:space="preserve">Convert from </t>
  </si>
  <si>
    <t>Convert to</t>
  </si>
  <si>
    <t>Multiply by</t>
  </si>
  <si>
    <t>pounds (lb)</t>
  </si>
  <si>
    <t>gram (g)</t>
  </si>
  <si>
    <t>g /  lb</t>
  </si>
  <si>
    <t>kilogram (kg)</t>
  </si>
  <si>
    <t>kg / lb</t>
  </si>
  <si>
    <t>metric ton / lb</t>
  </si>
  <si>
    <t>lb / kg</t>
  </si>
  <si>
    <t>short ton</t>
  </si>
  <si>
    <t>short ton / g</t>
  </si>
  <si>
    <t>short ton / kg</t>
  </si>
  <si>
    <t>short ton / metric ton</t>
  </si>
  <si>
    <t>short ton / lb</t>
  </si>
  <si>
    <t>short ton / short ton</t>
  </si>
  <si>
    <t>lb / metric ton</t>
  </si>
  <si>
    <t>kg / metric ton</t>
  </si>
  <si>
    <t>Volume</t>
  </si>
  <si>
    <t>standard cubic foot (scf)</t>
  </si>
  <si>
    <t>US gallon (gal)</t>
  </si>
  <si>
    <t>gal / scf</t>
  </si>
  <si>
    <t>barrel (bbl)</t>
  </si>
  <si>
    <t>bbl / scf</t>
  </si>
  <si>
    <t>liters (L)</t>
  </si>
  <si>
    <t>L / scf</t>
  </si>
  <si>
    <t>cubic meters (m3)</t>
  </si>
  <si>
    <t>m3 / scf</t>
  </si>
  <si>
    <t>bbl / gal</t>
  </si>
  <si>
    <t>L / gal</t>
  </si>
  <si>
    <t>m3 / gal</t>
  </si>
  <si>
    <t>US gallons (gal)</t>
  </si>
  <si>
    <t>gal / bbl</t>
  </si>
  <si>
    <t>L / bbl</t>
  </si>
  <si>
    <t>m3 / bbl</t>
  </si>
  <si>
    <t>m3 / L</t>
  </si>
  <si>
    <t>gal / L</t>
  </si>
  <si>
    <t>bbl / m3</t>
  </si>
  <si>
    <t>gal / m3</t>
  </si>
  <si>
    <t>L / m3</t>
  </si>
  <si>
    <t>Energy</t>
  </si>
  <si>
    <t>kilowatt hour (kWh)</t>
  </si>
  <si>
    <t>Btu</t>
  </si>
  <si>
    <t>Btu / kWh</t>
  </si>
  <si>
    <t xml:space="preserve">kilojoules (KJ) </t>
  </si>
  <si>
    <t>KJ / kWh</t>
  </si>
  <si>
    <t>megajoule (MJ)</t>
  </si>
  <si>
    <t xml:space="preserve">gigajoules (GJ) </t>
  </si>
  <si>
    <t>GJ / MJ</t>
  </si>
  <si>
    <t>gigajoule (GJ)</t>
  </si>
  <si>
    <t>million Btu (mmBtu)</t>
  </si>
  <si>
    <t>mmBtu / GJ</t>
  </si>
  <si>
    <t>kilowatt hours (kWh)</t>
  </si>
  <si>
    <t>kWh / GJ</t>
  </si>
  <si>
    <t xml:space="preserve">joules (J) </t>
  </si>
  <si>
    <t>J / Btu</t>
  </si>
  <si>
    <t>GJ / mmBtu</t>
  </si>
  <si>
    <t>kWh / mmBtu</t>
  </si>
  <si>
    <t>therm</t>
  </si>
  <si>
    <t>Btu / therm</t>
  </si>
  <si>
    <t>GJ / therm</t>
  </si>
  <si>
    <t>kWh / therm</t>
  </si>
  <si>
    <t>Distance</t>
  </si>
  <si>
    <t>mile</t>
  </si>
  <si>
    <t>kilometers (km)</t>
  </si>
  <si>
    <t>km / mile</t>
  </si>
  <si>
    <t>nautical mile</t>
  </si>
  <si>
    <t>miles</t>
  </si>
  <si>
    <t>mile / nautical mile</t>
  </si>
  <si>
    <t>kilometer (km)</t>
  </si>
  <si>
    <t>mile / km</t>
  </si>
  <si>
    <t>Other</t>
  </si>
  <si>
    <t>kilo</t>
  </si>
  <si>
    <t>mega</t>
  </si>
  <si>
    <t>giga</t>
  </si>
  <si>
    <t>tera</t>
  </si>
  <si>
    <t>molecular weight of C</t>
  </si>
  <si>
    <r>
      <t>molecular weight of CO</t>
    </r>
    <r>
      <rPr>
        <vertAlign val="subscript"/>
        <sz val="10"/>
        <rFont val="Frutiger LT Com 45 Light"/>
        <family val="2"/>
        <scheme val="major"/>
      </rPr>
      <t>2</t>
    </r>
    <r>
      <rPr>
        <sz val="10"/>
        <rFont val="Frutiger LT Com 45 Light"/>
        <family val="2"/>
        <scheme val="major"/>
      </rPr>
      <t xml:space="preserve"> </t>
    </r>
  </si>
  <si>
    <t>Further Information</t>
  </si>
  <si>
    <t>This table will provide you with further information on what processes contribute to which impact factors.</t>
  </si>
  <si>
    <t>Process</t>
  </si>
  <si>
    <t>Impact Factor</t>
  </si>
  <si>
    <t>Scope</t>
  </si>
  <si>
    <t>Electrical Energy Consumption</t>
  </si>
  <si>
    <t xml:space="preserve">Global warming </t>
  </si>
  <si>
    <t>Built up Area</t>
  </si>
  <si>
    <t>Water consumption</t>
  </si>
  <si>
    <t xml:space="preserve">Water use </t>
  </si>
  <si>
    <t>Global warming I Fossil resource scarcity</t>
  </si>
  <si>
    <t>Scope 1 I Scope 3</t>
  </si>
  <si>
    <t>Global Warming</t>
  </si>
  <si>
    <t>Purchased Gases and Refrigerants</t>
  </si>
  <si>
    <t>Global warming I Fine particulate matter</t>
  </si>
  <si>
    <t>Raw Material Calculation</t>
  </si>
  <si>
    <t>Only to be filled out by Fraunhofer Employees</t>
  </si>
  <si>
    <t>1. Log in to mfitool.nrel.gov</t>
  </si>
  <si>
    <t xml:space="preserve">2. Build a new Scenario,give it a name and enter the Sector, End product and amount used. </t>
  </si>
  <si>
    <t xml:space="preserve">3. Submit the Scenario and Run it. An Excel Sheet will be downloaded. </t>
  </si>
  <si>
    <t>4. Copy the table from the "TotalEmission" tab of this downloaded Excel sheet into the outlined area on this document.</t>
  </si>
  <si>
    <t>5. If the Cell "End Product" shows 0, we have no Data on this Raw Material. Skip it.</t>
  </si>
  <si>
    <t>6. Repeat for all Raw Materials used</t>
  </si>
  <si>
    <t>Sector</t>
  </si>
  <si>
    <t>End product</t>
  </si>
  <si>
    <t>amount used (Kg)</t>
  </si>
  <si>
    <t>Material</t>
  </si>
  <si>
    <t xml:space="preserve"> Process</t>
  </si>
  <si>
    <t>Electricity</t>
  </si>
  <si>
    <t>Transportation Net</t>
  </si>
  <si>
    <t>Net</t>
  </si>
  <si>
    <t>Primary</t>
  </si>
  <si>
    <t>Avoided</t>
  </si>
  <si>
    <t>Mobile</t>
  </si>
  <si>
    <t>Power Generation</t>
  </si>
  <si>
    <t>Upstream Transportation</t>
  </si>
  <si>
    <t>Waste Processing</t>
  </si>
  <si>
    <t>Gas &amp;Refrigerants</t>
  </si>
  <si>
    <t>Minerals</t>
  </si>
  <si>
    <t>Fossil Fuels</t>
  </si>
  <si>
    <t>Raw Materials</t>
  </si>
  <si>
    <r>
      <t>Metric Tons CO</t>
    </r>
    <r>
      <rPr>
        <b/>
        <vertAlign val="subscript"/>
        <sz val="10"/>
        <rFont val="Arial"/>
        <family val="2"/>
      </rPr>
      <t>2</t>
    </r>
    <r>
      <rPr>
        <b/>
        <sz val="10"/>
        <rFont val="Arial"/>
        <family val="2"/>
      </rPr>
      <t>e / Short Ton Material</t>
    </r>
  </si>
  <si>
    <t>Blended Refrigerants (ASHRAE #)</t>
  </si>
  <si>
    <t>Fossil Fuel potentials</t>
  </si>
  <si>
    <t>Fuel Type</t>
  </si>
  <si>
    <r>
      <t>CO</t>
    </r>
    <r>
      <rPr>
        <b/>
        <vertAlign val="subscript"/>
        <sz val="10"/>
        <rFont val="Arial"/>
        <family val="2"/>
      </rPr>
      <t>2</t>
    </r>
    <r>
      <rPr>
        <b/>
        <sz val="10"/>
        <rFont val="Arial"/>
        <family val="2"/>
      </rPr>
      <t xml:space="preserve"> Factor 
(kg / mmBtu)</t>
    </r>
  </si>
  <si>
    <r>
      <t>CH</t>
    </r>
    <r>
      <rPr>
        <b/>
        <vertAlign val="subscript"/>
        <sz val="10"/>
        <rFont val="Arial"/>
        <family val="2"/>
      </rPr>
      <t>4</t>
    </r>
    <r>
      <rPr>
        <b/>
        <sz val="10"/>
        <rFont val="Arial"/>
        <family val="2"/>
      </rPr>
      <t xml:space="preserve"> Factor 
(g / mmBtu)</t>
    </r>
  </si>
  <si>
    <r>
      <t>N</t>
    </r>
    <r>
      <rPr>
        <b/>
        <vertAlign val="subscript"/>
        <sz val="10"/>
        <rFont val="Arial"/>
        <family val="2"/>
      </rPr>
      <t>2</t>
    </r>
    <r>
      <rPr>
        <b/>
        <sz val="10"/>
        <rFont val="Arial"/>
        <family val="2"/>
      </rPr>
      <t>O Factor 
(g / mmBtu)</t>
    </r>
  </si>
  <si>
    <r>
      <t>CO</t>
    </r>
    <r>
      <rPr>
        <b/>
        <vertAlign val="subscript"/>
        <sz val="10"/>
        <rFont val="Arial"/>
        <family val="2"/>
      </rPr>
      <t>2</t>
    </r>
    <r>
      <rPr>
        <b/>
        <sz val="10"/>
        <rFont val="Arial"/>
        <family val="2"/>
      </rPr>
      <t xml:space="preserve"> Factor 
(kg / Unit)</t>
    </r>
  </si>
  <si>
    <r>
      <t>CH</t>
    </r>
    <r>
      <rPr>
        <b/>
        <vertAlign val="subscript"/>
        <sz val="10"/>
        <rFont val="Arial"/>
        <family val="2"/>
      </rPr>
      <t>4</t>
    </r>
    <r>
      <rPr>
        <b/>
        <sz val="10"/>
        <rFont val="Arial"/>
        <family val="2"/>
      </rPr>
      <t xml:space="preserve"> Factor 
(g / unit)</t>
    </r>
  </si>
  <si>
    <r>
      <t>N</t>
    </r>
    <r>
      <rPr>
        <b/>
        <vertAlign val="subscript"/>
        <sz val="10"/>
        <rFont val="Arial"/>
        <family val="2"/>
      </rPr>
      <t>2</t>
    </r>
    <r>
      <rPr>
        <b/>
        <sz val="10"/>
        <rFont val="Arial"/>
        <family val="2"/>
      </rPr>
      <t>O Factor 
(g / unit)</t>
    </r>
  </si>
  <si>
    <t>Conversion</t>
  </si>
  <si>
    <r>
      <t>CO</t>
    </r>
    <r>
      <rPr>
        <b/>
        <vertAlign val="subscript"/>
        <sz val="10"/>
        <rFont val="Arial"/>
        <family val="2"/>
      </rPr>
      <t>2</t>
    </r>
    <r>
      <rPr>
        <b/>
        <sz val="10"/>
        <rFont val="Arial"/>
        <family val="2"/>
      </rPr>
      <t xml:space="preserve"> Emission Factor 
(kg CO</t>
    </r>
    <r>
      <rPr>
        <b/>
        <vertAlign val="subscript"/>
        <sz val="10"/>
        <rFont val="Arial"/>
        <family val="2"/>
      </rPr>
      <t>2</t>
    </r>
    <r>
      <rPr>
        <b/>
        <sz val="10"/>
        <rFont val="Arial"/>
        <family val="2"/>
      </rPr>
      <t xml:space="preserve"> / unit)</t>
    </r>
  </si>
  <si>
    <r>
      <t>CH</t>
    </r>
    <r>
      <rPr>
        <b/>
        <vertAlign val="subscript"/>
        <sz val="10"/>
        <rFont val="Arial"/>
        <family val="2"/>
      </rPr>
      <t xml:space="preserve">4 </t>
    </r>
    <r>
      <rPr>
        <b/>
        <sz val="10"/>
        <rFont val="Arial"/>
        <family val="2"/>
      </rPr>
      <t>Factor 
(g / mile)</t>
    </r>
  </si>
  <si>
    <r>
      <t>N</t>
    </r>
    <r>
      <rPr>
        <b/>
        <vertAlign val="subscript"/>
        <sz val="10"/>
        <rFont val="Arial"/>
        <family val="2"/>
      </rPr>
      <t>2</t>
    </r>
    <r>
      <rPr>
        <b/>
        <sz val="10"/>
        <rFont val="Arial"/>
        <family val="2"/>
      </rPr>
      <t>O Factor 
(g / mile)</t>
    </r>
  </si>
  <si>
    <r>
      <t>CO</t>
    </r>
    <r>
      <rPr>
        <b/>
        <vertAlign val="subscript"/>
        <sz val="10"/>
        <rFont val="Arial"/>
        <family val="2"/>
      </rPr>
      <t>2</t>
    </r>
    <r>
      <rPr>
        <b/>
        <sz val="10"/>
        <rFont val="Arial"/>
        <family val="2"/>
      </rPr>
      <t xml:space="preserve"> Factor 
(kg / unit)</t>
    </r>
  </si>
  <si>
    <r>
      <t>CH</t>
    </r>
    <r>
      <rPr>
        <b/>
        <vertAlign val="subscript"/>
        <sz val="10"/>
        <rFont val="Arial"/>
        <family val="2"/>
      </rPr>
      <t xml:space="preserve">4 </t>
    </r>
    <r>
      <rPr>
        <b/>
        <sz val="10"/>
        <rFont val="Arial"/>
        <family val="2"/>
      </rPr>
      <t>Factor 
(g / unit)</t>
    </r>
  </si>
  <si>
    <t>Subregion</t>
  </si>
  <si>
    <r>
      <t>CO</t>
    </r>
    <r>
      <rPr>
        <b/>
        <vertAlign val="subscript"/>
        <sz val="10"/>
        <rFont val="Arial"/>
        <family val="2"/>
      </rPr>
      <t>2</t>
    </r>
    <r>
      <rPr>
        <b/>
        <sz val="10"/>
        <rFont val="Arial"/>
        <family val="2"/>
      </rPr>
      <t xml:space="preserve"> Factor</t>
    </r>
  </si>
  <si>
    <r>
      <t>CH</t>
    </r>
    <r>
      <rPr>
        <b/>
        <vertAlign val="subscript"/>
        <sz val="10"/>
        <rFont val="Arial"/>
        <family val="2"/>
      </rPr>
      <t>4</t>
    </r>
    <r>
      <rPr>
        <b/>
        <sz val="10"/>
        <rFont val="Arial"/>
        <family val="2"/>
      </rPr>
      <t xml:space="preserve"> Factor</t>
    </r>
  </si>
  <si>
    <r>
      <t>N</t>
    </r>
    <r>
      <rPr>
        <b/>
        <vertAlign val="subscript"/>
        <sz val="10"/>
        <rFont val="Arial"/>
        <family val="2"/>
      </rPr>
      <t>2</t>
    </r>
    <r>
      <rPr>
        <b/>
        <sz val="10"/>
        <rFont val="Arial"/>
        <family val="2"/>
      </rPr>
      <t>O Factor</t>
    </r>
  </si>
  <si>
    <t>WARM Material</t>
  </si>
  <si>
    <t>Recycled</t>
  </si>
  <si>
    <t>Landfilled</t>
  </si>
  <si>
    <t>Combusted</t>
  </si>
  <si>
    <t>Composted</t>
  </si>
  <si>
    <t>Gas</t>
  </si>
  <si>
    <t>GWP</t>
  </si>
  <si>
    <t>ASHRAE #</t>
  </si>
  <si>
    <t>Blend GWP HFC/PFC</t>
  </si>
  <si>
    <t>Blend Make-up</t>
  </si>
  <si>
    <t>100-Year GWP</t>
  </si>
  <si>
    <t>Mineral</t>
  </si>
  <si>
    <t>SOP</t>
  </si>
  <si>
    <t>Fuel</t>
  </si>
  <si>
    <t>Fossil fuel potential</t>
  </si>
  <si>
    <t>Natural Gas</t>
  </si>
  <si>
    <t>scf</t>
  </si>
  <si>
    <t>Gasoline</t>
  </si>
  <si>
    <t>gallons</t>
  </si>
  <si>
    <t>Passenger Cars</t>
  </si>
  <si>
    <t>Diesel</t>
  </si>
  <si>
    <t>Passenger Car</t>
  </si>
  <si>
    <t>vehicle-mile</t>
  </si>
  <si>
    <r>
      <t>(lb CO</t>
    </r>
    <r>
      <rPr>
        <b/>
        <vertAlign val="subscript"/>
        <sz val="10"/>
        <rFont val="Arial"/>
        <family val="2"/>
      </rPr>
      <t>2</t>
    </r>
    <r>
      <rPr>
        <b/>
        <sz val="10"/>
        <rFont val="Arial"/>
        <family val="2"/>
      </rPr>
      <t>/MWh)</t>
    </r>
  </si>
  <si>
    <r>
      <t>(lb CH</t>
    </r>
    <r>
      <rPr>
        <b/>
        <vertAlign val="subscript"/>
        <sz val="10"/>
        <rFont val="Arial"/>
        <family val="2"/>
      </rPr>
      <t>4</t>
    </r>
    <r>
      <rPr>
        <b/>
        <sz val="10"/>
        <rFont val="Arial"/>
        <family val="2"/>
      </rPr>
      <t>/MWh)</t>
    </r>
  </si>
  <si>
    <r>
      <t>(lb N</t>
    </r>
    <r>
      <rPr>
        <b/>
        <vertAlign val="subscript"/>
        <sz val="10"/>
        <rFont val="Arial"/>
        <family val="2"/>
      </rPr>
      <t>2</t>
    </r>
    <r>
      <rPr>
        <b/>
        <sz val="10"/>
        <rFont val="Arial"/>
        <family val="2"/>
      </rPr>
      <t>O/MWh)</t>
    </r>
  </si>
  <si>
    <t>Medium- and Heavy-Duty Truck</t>
  </si>
  <si>
    <t>Aluminum Cans</t>
  </si>
  <si>
    <t>NA</t>
  </si>
  <si>
    <r>
      <t>CO</t>
    </r>
    <r>
      <rPr>
        <vertAlign val="subscript"/>
        <sz val="10"/>
        <rFont val="Arial"/>
        <family val="2"/>
      </rPr>
      <t>2</t>
    </r>
    <r>
      <rPr>
        <sz val="10"/>
        <rFont val="Arial"/>
        <family val="2"/>
      </rPr>
      <t xml:space="preserve"> </t>
    </r>
  </si>
  <si>
    <t>R-401A</t>
  </si>
  <si>
    <t>53% HCFC-22 , 34% HCFC-124 , 13% HFC-152a</t>
  </si>
  <si>
    <t xml:space="preserve">Convert From </t>
  </si>
  <si>
    <t>Convert To</t>
  </si>
  <si>
    <t>Multiply By</t>
  </si>
  <si>
    <r>
      <t>CO</t>
    </r>
    <r>
      <rPr>
        <sz val="7"/>
        <rFont val="Arial"/>
        <family val="2"/>
      </rPr>
      <t>2</t>
    </r>
  </si>
  <si>
    <t>Distillate Fuel Oil No. 2</t>
  </si>
  <si>
    <t>Light-Duty Truck</t>
  </si>
  <si>
    <t>AKGD (ASCC Alaska Grid)</t>
  </si>
  <si>
    <t>Aluminum Ingot</t>
  </si>
  <si>
    <r>
      <t>CH</t>
    </r>
    <r>
      <rPr>
        <vertAlign val="subscript"/>
        <sz val="10"/>
        <rFont val="Arial"/>
        <family val="2"/>
      </rPr>
      <t>4</t>
    </r>
  </si>
  <si>
    <t>R-401B</t>
  </si>
  <si>
    <t>61% HCFC-22 , 28% HCFC-124 , 11% HFC-152a</t>
  </si>
  <si>
    <t>Nonmetallic Minerals</t>
  </si>
  <si>
    <t>BARITE</t>
  </si>
  <si>
    <t>Residual Fuel Oil No. 6</t>
  </si>
  <si>
    <t>Methanol</t>
  </si>
  <si>
    <t>Motorcycle</t>
  </si>
  <si>
    <t>AKMS (ASCC Miscellaneous)</t>
  </si>
  <si>
    <t>Steel Cans</t>
  </si>
  <si>
    <r>
      <t>N</t>
    </r>
    <r>
      <rPr>
        <vertAlign val="subscript"/>
        <sz val="10"/>
        <rFont val="Arial"/>
        <family val="2"/>
      </rPr>
      <t>2</t>
    </r>
    <r>
      <rPr>
        <sz val="10"/>
        <rFont val="Arial"/>
        <family val="2"/>
      </rPr>
      <t>O</t>
    </r>
  </si>
  <si>
    <t>R-401C</t>
  </si>
  <si>
    <t>33% HCFC-22 , 52% HCFC-124 , 15% HFC-152a</t>
  </si>
  <si>
    <t>Anthracite Coal</t>
  </si>
  <si>
    <t>BRICK</t>
  </si>
  <si>
    <t>Kerosene</t>
  </si>
  <si>
    <t>Aviation Gasoline</t>
  </si>
  <si>
    <t>Ethanol</t>
  </si>
  <si>
    <t>Intercity Rail - National Average</t>
  </si>
  <si>
    <t>passenger-mile</t>
  </si>
  <si>
    <t>AZNM (WECC Southwest)</t>
  </si>
  <si>
    <t>ton-mile</t>
  </si>
  <si>
    <t>Copper Wire</t>
  </si>
  <si>
    <t>HFC-23</t>
  </si>
  <si>
    <t>R-402A</t>
  </si>
  <si>
    <t>38% HCFC-22 , 6% HFC-125 , 2% propane</t>
  </si>
  <si>
    <t>Lignite Coal</t>
  </si>
  <si>
    <t>CALCIUM OXIDE</t>
  </si>
  <si>
    <t>Liquefied Petroleum Gases (LPG)</t>
  </si>
  <si>
    <t>Kerosene-Type Jet Fuel</t>
  </si>
  <si>
    <t>CNG</t>
  </si>
  <si>
    <t>Commuter Rail</t>
  </si>
  <si>
    <t>CAMX (WECC California)</t>
  </si>
  <si>
    <t>Rail</t>
  </si>
  <si>
    <t>Glass</t>
  </si>
  <si>
    <t>HFC-32</t>
  </si>
  <si>
    <t>R-402B</t>
  </si>
  <si>
    <t>6% HCFC-22 , 38% HFC-125 , 2% propane</t>
  </si>
  <si>
    <t>Peat</t>
  </si>
  <si>
    <t>CEMENT, PORTLAND</t>
  </si>
  <si>
    <t>short tons</t>
  </si>
  <si>
    <t>LPG</t>
  </si>
  <si>
    <t>Transit Rail (i.e. Subway, Tram)</t>
  </si>
  <si>
    <t>ERCT (ERCOT All)</t>
  </si>
  <si>
    <t>Waterborne Craft</t>
  </si>
  <si>
    <t>HDPE</t>
  </si>
  <si>
    <t>HFC-41</t>
  </si>
  <si>
    <t>R-403B</t>
  </si>
  <si>
    <t>56% HCFC-22 , 39% PFC-218 , 5% propane</t>
  </si>
  <si>
    <t>CLAY, EXPANDED</t>
  </si>
  <si>
    <t>Bituminous Coal</t>
  </si>
  <si>
    <t>Biodiesel</t>
  </si>
  <si>
    <t>Bus</t>
  </si>
  <si>
    <t>FRCC (FRCC All)</t>
  </si>
  <si>
    <t>Aircraft</t>
  </si>
  <si>
    <t>LDPE</t>
  </si>
  <si>
    <t>HFC-125</t>
  </si>
  <si>
    <t>R-404A</t>
  </si>
  <si>
    <t>44% HFC-125 , 4% HFC-134a , 52% HFC 143a</t>
  </si>
  <si>
    <t>CLINKER</t>
  </si>
  <si>
    <t>Sub-bituminous Coal</t>
  </si>
  <si>
    <t>Light-Duty Trucks</t>
  </si>
  <si>
    <t>Air Short Haul (&lt; 300 miles)</t>
  </si>
  <si>
    <t>HIMS (HICC Miscellaneous)</t>
  </si>
  <si>
    <t>PET</t>
  </si>
  <si>
    <t>HFC-134</t>
  </si>
  <si>
    <t>R-406A</t>
  </si>
  <si>
    <t>55% HCFC-22 , 41% HCFC-142b , 4% isobutane</t>
  </si>
  <si>
    <t>CONCRETE</t>
  </si>
  <si>
    <t>LNG</t>
  </si>
  <si>
    <t>Air Medium Haul (&gt;= 300 miles, &lt; 2300 miles)</t>
  </si>
  <si>
    <t>HIOA (HICC Oahu)</t>
  </si>
  <si>
    <t>LLDPE</t>
  </si>
  <si>
    <t>HFC-134a</t>
  </si>
  <si>
    <t>R-407A</t>
  </si>
  <si>
    <t>20% HFC-32 , 40% HFC-125 , 40% HFC-134a</t>
  </si>
  <si>
    <t>GLASS FIBER</t>
  </si>
  <si>
    <t>Mixed (Commercial Sector)</t>
  </si>
  <si>
    <t>Air Long Haul (&gt;= 2300 miles)</t>
  </si>
  <si>
    <t>MROE (MRO East)</t>
  </si>
  <si>
    <t>PP</t>
  </si>
  <si>
    <t>HFC-143</t>
  </si>
  <si>
    <t>R-407B</t>
  </si>
  <si>
    <t>10% HFC-32 , 70% HFC-125 , 20% HFC-134a</t>
  </si>
  <si>
    <t>GLASS, FLAT, COATED</t>
  </si>
  <si>
    <t>Mixed (Electric Power Sector)</t>
  </si>
  <si>
    <t>MROW (MRO West)</t>
  </si>
  <si>
    <t>PS</t>
  </si>
  <si>
    <t>HFC-143a</t>
  </si>
  <si>
    <t>R-407C</t>
  </si>
  <si>
    <t>23% HFC-32 , 25% HFC-125 , 52% HFC-134a</t>
  </si>
  <si>
    <t>GLASS, FLAT, UNCOATED</t>
  </si>
  <si>
    <t>Mixed (Industrial Coking)</t>
  </si>
  <si>
    <t>NEWE (NPCC New England)</t>
  </si>
  <si>
    <t>PVC</t>
  </si>
  <si>
    <t>HFC-152</t>
  </si>
  <si>
    <t>R-407D</t>
  </si>
  <si>
    <t>15% HFC-32 , 15% HFC-125 , 70% HFC-134a</t>
  </si>
  <si>
    <t>GLASS, SOLAR, TEMPERED</t>
  </si>
  <si>
    <t>Mixed (Industrial Sector)</t>
  </si>
  <si>
    <t>Drove alone</t>
  </si>
  <si>
    <t>NWPP (WECC Northwest)</t>
  </si>
  <si>
    <t>PLA</t>
  </si>
  <si>
    <t>HFC-152a</t>
  </si>
  <si>
    <t>R-407E</t>
  </si>
  <si>
    <t>25% HFC-32 , 15% HFC-125 , 60% HFC-134a</t>
  </si>
  <si>
    <t>KAOLIN</t>
  </si>
  <si>
    <t>Coal Coke</t>
  </si>
  <si>
    <t>Public transport</t>
  </si>
  <si>
    <t>NYCW (NPCC NYC/Westchester)</t>
  </si>
  <si>
    <t>Corrugated Containers</t>
  </si>
  <si>
    <t>HFC-161</t>
  </si>
  <si>
    <t>R-408A</t>
  </si>
  <si>
    <t>47% HCFC-22 , 7% HFC-125 , 46% HFC 143a</t>
  </si>
  <si>
    <t>KAOLIN, ULTRAFINE</t>
  </si>
  <si>
    <t>Municipal Solid Waste</t>
  </si>
  <si>
    <t>Medium-Duty Trucks</t>
  </si>
  <si>
    <t>Homeoffice</t>
  </si>
  <si>
    <t>NYLI (NPCC Long Island)</t>
  </si>
  <si>
    <t>Magazines/Third-class mail</t>
  </si>
  <si>
    <t>HFC-227ea</t>
  </si>
  <si>
    <t>R-409A</t>
  </si>
  <si>
    <t>60% HCFC-22 , 25% HCFC-124 , 15% HCFC-142b</t>
  </si>
  <si>
    <t>LIME</t>
  </si>
  <si>
    <t>Petroleum Coke (Solid)</t>
  </si>
  <si>
    <t>Walk/bike/etc.</t>
  </si>
  <si>
    <t>NYUP (NPCC Upstate NY)</t>
  </si>
  <si>
    <t>Newspaper</t>
  </si>
  <si>
    <t>HFC-236cb</t>
  </si>
  <si>
    <t>R-410A</t>
  </si>
  <si>
    <t>50% HFC-32 , 50% HFC-125</t>
  </si>
  <si>
    <t>LIME, HYDRATED</t>
  </si>
  <si>
    <t>Plastics</t>
  </si>
  <si>
    <t>PRMS (Puerto Rico Miscellaneous)</t>
  </si>
  <si>
    <t>Office Paper</t>
  </si>
  <si>
    <t>HFC-236ea</t>
  </si>
  <si>
    <t>R-410B</t>
  </si>
  <si>
    <t xml:space="preserve">45% HFC-32 , 55% HFC-125 </t>
  </si>
  <si>
    <t>REFRACTORY, BASIC</t>
  </si>
  <si>
    <t>Tires</t>
  </si>
  <si>
    <t>RFCE (RFC East)</t>
  </si>
  <si>
    <t>Phonebooks</t>
  </si>
  <si>
    <t>HFC-236fa</t>
  </si>
  <si>
    <t>R-411A</t>
  </si>
  <si>
    <t>87.5% HCFC-22 , 11 HFC-152a , 1.5% propylene</t>
  </si>
  <si>
    <t>REFRACTORY, FIRECLAY</t>
  </si>
  <si>
    <t>Agricultural Byproducts</t>
  </si>
  <si>
    <t>RFCM (RFC Michigan)</t>
  </si>
  <si>
    <t>Textbooks</t>
  </si>
  <si>
    <t>HFC-245ca</t>
  </si>
  <si>
    <t>R-411B</t>
  </si>
  <si>
    <t>94% HCFC-22 , 3% HFC-152a , 3% propylene</t>
  </si>
  <si>
    <t>REFRACTORY, HIGH ALUMINUM OXIDE</t>
  </si>
  <si>
    <t>RFCW (RFC West)</t>
  </si>
  <si>
    <t>Dimensional Lumber</t>
  </si>
  <si>
    <t>HFC-245fa</t>
  </si>
  <si>
    <t>R-413A</t>
  </si>
  <si>
    <t>88% HFC-134a , 9% PFC-218 , 3% isobutane</t>
  </si>
  <si>
    <t>SILICON, HIGH PURITY</t>
  </si>
  <si>
    <t>Solid Byproducts</t>
  </si>
  <si>
    <t>Heavy-Duty Trucks</t>
  </si>
  <si>
    <t>RMPA (WECC Rockies)</t>
  </si>
  <si>
    <t>Medium-density Fiberboard</t>
  </si>
  <si>
    <t>HFC-365mfc</t>
  </si>
  <si>
    <t>R-414A</t>
  </si>
  <si>
    <t>51% HCFC-22 , 28.5% HCFC-124 , 16.5% HCFC-142b</t>
  </si>
  <si>
    <t>VERMICULITE</t>
  </si>
  <si>
    <t>Wood and Wood Residuals</t>
  </si>
  <si>
    <t>SPNO (SPP North)</t>
  </si>
  <si>
    <t>Food Waste (non-meat)</t>
  </si>
  <si>
    <t>HFC-43-10mee</t>
  </si>
  <si>
    <t>R-414B</t>
  </si>
  <si>
    <t>5% HCFC-22 , 39% HCFC-124 , 9.5% HCFC-142b</t>
  </si>
  <si>
    <t>Plastics &amp; Rubber</t>
  </si>
  <si>
    <t>ACETAL HOMOPOLYMER</t>
  </si>
  <si>
    <t>Propane Gas</t>
  </si>
  <si>
    <t>SPSO (SPP South)</t>
  </si>
  <si>
    <t>Food Waste (meat only)</t>
  </si>
  <si>
    <r>
      <t>SF</t>
    </r>
    <r>
      <rPr>
        <vertAlign val="subscript"/>
        <sz val="10"/>
        <rFont val="Arial"/>
        <family val="2"/>
      </rPr>
      <t>6</t>
    </r>
    <r>
      <rPr>
        <sz val="10"/>
        <rFont val="Arial"/>
        <family val="2"/>
      </rPr>
      <t xml:space="preserve"> </t>
    </r>
  </si>
  <si>
    <t>R-417A</t>
  </si>
  <si>
    <t>46.6% HFC-125 , 5% HFC-134a , 3.4% butane</t>
  </si>
  <si>
    <t>ACRYLIC BINDER</t>
  </si>
  <si>
    <t>Landfill Gas</t>
  </si>
  <si>
    <t>SRMV (SERC Mississippi Valley)</t>
  </si>
  <si>
    <t>Beef</t>
  </si>
  <si>
    <r>
      <t>NF</t>
    </r>
    <r>
      <rPr>
        <vertAlign val="subscript"/>
        <sz val="10"/>
        <rFont val="Arial"/>
        <family val="2"/>
      </rPr>
      <t>3</t>
    </r>
  </si>
  <si>
    <t>R-422A</t>
  </si>
  <si>
    <t>85.1% HFC-125 , 11.5% HFC-134a , 3.4% isobutane</t>
  </si>
  <si>
    <t>ACRYLONITRILE BUTADIENE STYRENE, RESIN</t>
  </si>
  <si>
    <t>Biodiesel (100%)</t>
  </si>
  <si>
    <t>SRMW (SERC Midwest)</t>
  </si>
  <si>
    <t>Poultry</t>
  </si>
  <si>
    <r>
      <t>CF</t>
    </r>
    <r>
      <rPr>
        <vertAlign val="subscript"/>
        <sz val="10"/>
        <rFont val="Arial"/>
        <family val="2"/>
      </rPr>
      <t>4</t>
    </r>
  </si>
  <si>
    <t>R-422D</t>
  </si>
  <si>
    <t>65.1% HFC-125 , 31.5% HFC-134a , 3.4% isobutane</t>
  </si>
  <si>
    <t>ALKYD RESIN</t>
  </si>
  <si>
    <t>Ethanol (100%)</t>
  </si>
  <si>
    <t>SRSO (SERC South)</t>
  </si>
  <si>
    <t>Grains</t>
  </si>
  <si>
    <r>
      <t>C</t>
    </r>
    <r>
      <rPr>
        <vertAlign val="subscript"/>
        <sz val="10"/>
        <rFont val="Arial"/>
        <family val="2"/>
      </rPr>
      <t>2</t>
    </r>
    <r>
      <rPr>
        <sz val="10"/>
        <rFont val="Arial"/>
        <family val="2"/>
      </rPr>
      <t>F</t>
    </r>
    <r>
      <rPr>
        <vertAlign val="subscript"/>
        <sz val="10"/>
        <rFont val="Arial"/>
        <family val="2"/>
      </rPr>
      <t>6</t>
    </r>
    <r>
      <rPr>
        <sz val="10"/>
        <rFont val="Arial"/>
        <family val="2"/>
      </rPr>
      <t xml:space="preserve"> </t>
    </r>
  </si>
  <si>
    <t>R-423A</t>
  </si>
  <si>
    <t xml:space="preserve">47.5% HFC-227ea , 52.5% HFC-134a ,  </t>
  </si>
  <si>
    <t>AMORPHOUS FLUOROPOLYMER</t>
  </si>
  <si>
    <t>Rendered Animal Fat</t>
  </si>
  <si>
    <t>SRTV (SERC Tennessee Valley)</t>
  </si>
  <si>
    <t>Bread</t>
  </si>
  <si>
    <r>
      <t>C</t>
    </r>
    <r>
      <rPr>
        <vertAlign val="subscript"/>
        <sz val="10"/>
        <rFont val="Arial"/>
        <family val="2"/>
      </rPr>
      <t>3</t>
    </r>
    <r>
      <rPr>
        <sz val="10"/>
        <rFont val="Arial"/>
        <family val="2"/>
      </rPr>
      <t>F</t>
    </r>
    <r>
      <rPr>
        <vertAlign val="subscript"/>
        <sz val="10"/>
        <rFont val="Arial"/>
        <family val="2"/>
      </rPr>
      <t>8</t>
    </r>
  </si>
  <si>
    <t>R-424A</t>
  </si>
  <si>
    <t>50.5% HFC-125, 47% HFC-134a, 2.5% butane/pentane</t>
  </si>
  <si>
    <t>ANION EXCHANGE RESIN</t>
  </si>
  <si>
    <t>Vegetable Oil</t>
  </si>
  <si>
    <t>SRVC (SERC Virginia/Carolina)</t>
  </si>
  <si>
    <t>Fruits and Vegetables</t>
  </si>
  <si>
    <r>
      <t>c-C</t>
    </r>
    <r>
      <rPr>
        <vertAlign val="subscript"/>
        <sz val="10"/>
        <rFont val="Arial"/>
        <family val="2"/>
      </rPr>
      <t>4</t>
    </r>
    <r>
      <rPr>
        <sz val="10"/>
        <rFont val="Arial"/>
        <family val="2"/>
      </rPr>
      <t>F</t>
    </r>
    <r>
      <rPr>
        <vertAlign val="subscript"/>
        <sz val="10"/>
        <rFont val="Arial"/>
        <family val="2"/>
      </rPr>
      <t>8</t>
    </r>
  </si>
  <si>
    <t>R-426A</t>
  </si>
  <si>
    <t>5.1% HFC-125, 93% HFC-134a, 1.9% butane/pentane</t>
  </si>
  <si>
    <t>BUTYL RUBBER</t>
  </si>
  <si>
    <t>Buses</t>
  </si>
  <si>
    <t>Dairy Products</t>
  </si>
  <si>
    <r>
      <t>C</t>
    </r>
    <r>
      <rPr>
        <vertAlign val="subscript"/>
        <sz val="10"/>
        <rFont val="Arial"/>
        <family val="2"/>
      </rPr>
      <t>4</t>
    </r>
    <r>
      <rPr>
        <sz val="10"/>
        <rFont val="Arial"/>
        <family val="2"/>
      </rPr>
      <t>F</t>
    </r>
    <r>
      <rPr>
        <vertAlign val="subscript"/>
        <sz val="10"/>
        <rFont val="Arial"/>
        <family val="2"/>
      </rPr>
      <t>10</t>
    </r>
  </si>
  <si>
    <t>R-428A</t>
  </si>
  <si>
    <t>77.5% HFC-125 , 2% HFC-143a , 1.9% isobutane</t>
  </si>
  <si>
    <t>CATION EXCHANGE RESIN</t>
  </si>
  <si>
    <t>Yard Trimmings</t>
  </si>
  <si>
    <r>
      <t>C</t>
    </r>
    <r>
      <rPr>
        <vertAlign val="subscript"/>
        <sz val="10"/>
        <rFont val="Arial"/>
        <family val="2"/>
      </rPr>
      <t>5</t>
    </r>
    <r>
      <rPr>
        <sz val="10"/>
        <rFont val="Arial"/>
        <family val="2"/>
      </rPr>
      <t>F</t>
    </r>
    <r>
      <rPr>
        <vertAlign val="subscript"/>
        <sz val="10"/>
        <rFont val="Arial"/>
        <family val="2"/>
      </rPr>
      <t>12</t>
    </r>
  </si>
  <si>
    <t>R-434A</t>
  </si>
  <si>
    <t>63.2% HFC-125, 16% HFC-134a, 18% HFC-143a, 2.8% isobutane</t>
  </si>
  <si>
    <t>ELASTOMER, COPOLYESTER-ETHER</t>
  </si>
  <si>
    <t>Grass</t>
  </si>
  <si>
    <r>
      <t>C</t>
    </r>
    <r>
      <rPr>
        <vertAlign val="subscript"/>
        <sz val="10"/>
        <rFont val="Arial"/>
        <family val="2"/>
      </rPr>
      <t>6</t>
    </r>
    <r>
      <rPr>
        <sz val="10"/>
        <rFont val="Arial"/>
        <family val="2"/>
      </rPr>
      <t>F</t>
    </r>
    <r>
      <rPr>
        <vertAlign val="subscript"/>
        <sz val="10"/>
        <rFont val="Arial"/>
        <family val="2"/>
      </rPr>
      <t>14</t>
    </r>
  </si>
  <si>
    <t>R-500</t>
  </si>
  <si>
    <t>73.8% CFC-12 , 26.2% HFC-152a , 48.8% HCFC-22</t>
  </si>
  <si>
    <t>ELASTOMER, EPICHLOROHYDRIN</t>
  </si>
  <si>
    <t>Leaves</t>
  </si>
  <si>
    <r>
      <t>C</t>
    </r>
    <r>
      <rPr>
        <vertAlign val="subscript"/>
        <sz val="10"/>
        <rFont val="Arial"/>
        <family val="2"/>
      </rPr>
      <t>10</t>
    </r>
    <r>
      <rPr>
        <sz val="10"/>
        <rFont val="Arial"/>
        <family val="2"/>
      </rPr>
      <t>F</t>
    </r>
    <r>
      <rPr>
        <vertAlign val="subscript"/>
        <sz val="10"/>
        <rFont val="Arial"/>
        <family val="2"/>
      </rPr>
      <t>18</t>
    </r>
  </si>
  <si>
    <t>R-502</t>
  </si>
  <si>
    <t xml:space="preserve">48.8% HCFC-22 , 51.2% CFC-115 </t>
  </si>
  <si>
    <t>ELASTOMER, POLYAMIDE</t>
  </si>
  <si>
    <t>Branches</t>
  </si>
  <si>
    <t>NH3</t>
  </si>
  <si>
    <t>R-504</t>
  </si>
  <si>
    <t>48.2% HFC-32 , 51.8% CFC-115</t>
  </si>
  <si>
    <t>ELASTOMER, POLYOLEFIN</t>
  </si>
  <si>
    <t>Mixed Paper (general)</t>
  </si>
  <si>
    <t>NOx</t>
  </si>
  <si>
    <t>R-507</t>
  </si>
  <si>
    <t>5% HFC-125 , 5% HFC143a</t>
  </si>
  <si>
    <t>ELASTOMER, POLYURETHANE</t>
  </si>
  <si>
    <t>Mixed Paper (primarily residential)</t>
  </si>
  <si>
    <t>SO2</t>
  </si>
  <si>
    <t>R-508A</t>
  </si>
  <si>
    <t>39% HFC-23 , 61% PFC-116</t>
  </si>
  <si>
    <t>ELASTOMER, STYRENE-ISOPRENE-STYRENE</t>
  </si>
  <si>
    <t>Mixed Paper (primarily from offices)</t>
  </si>
  <si>
    <t>R-508B</t>
  </si>
  <si>
    <t>46% HFC-23 , 54% PFC-116</t>
  </si>
  <si>
    <t>EPOXY CRESIN NOVOLAC, RESIN</t>
  </si>
  <si>
    <t>Mixed Metals</t>
  </si>
  <si>
    <t>EPOXY PHENOL NOVOLAC, RESIN</t>
  </si>
  <si>
    <t>Mixed Plastics</t>
  </si>
  <si>
    <t>ETHYLENE DICHLORIDE-VINYL CHLORIDE MONOMER</t>
  </si>
  <si>
    <t>Mixed Recyclables</t>
  </si>
  <si>
    <t>ETHYLENE PROPYLENE DIENE MONOMER, RUBBER</t>
  </si>
  <si>
    <t>Food Waste</t>
  </si>
  <si>
    <t>ETHYLENE VINYL ALCOHOL, RESIN</t>
  </si>
  <si>
    <t>Mixed Organics</t>
  </si>
  <si>
    <t>ETHYL METHACRYLATE</t>
  </si>
  <si>
    <t>Mixed MSW</t>
  </si>
  <si>
    <t>FILM, HP, LIQUID CRYSTAL POLYMER</t>
  </si>
  <si>
    <t>Carpet</t>
  </si>
  <si>
    <t>FILM, HP, POLYARYLATE</t>
  </si>
  <si>
    <t>Desktop CPUs</t>
  </si>
  <si>
    <t>FILM, HP, POLYETHERETHERKETONE</t>
  </si>
  <si>
    <t>Portable Electronic Devices</t>
  </si>
  <si>
    <t>FILM, HP, POLYETHERIMIDE</t>
  </si>
  <si>
    <t>Flat-panel Displays</t>
  </si>
  <si>
    <t>FILM, HP, POLYETHERSULFONE</t>
  </si>
  <si>
    <t>CRT Displays</t>
  </si>
  <si>
    <t>FILM, HP, POLYPHENYLENE SULFIDE</t>
  </si>
  <si>
    <t>Electronic Peripherals</t>
  </si>
  <si>
    <t>FILM, PL, AGRICULTURAL</t>
  </si>
  <si>
    <t>Hard-copy Devices</t>
  </si>
  <si>
    <t>FILM, PL, FEP AND PFA</t>
  </si>
  <si>
    <t>Mixed Electronics</t>
  </si>
  <si>
    <t>FILM, PL, HDPE, BLOWN</t>
  </si>
  <si>
    <t>Clay Bricks</t>
  </si>
  <si>
    <t>FILM, PL, LDPE, BLOWN</t>
  </si>
  <si>
    <t>FILM, PL, LLDPE, BLOWN</t>
  </si>
  <si>
    <t>Fly Ash</t>
  </si>
  <si>
    <t>Kilo</t>
  </si>
  <si>
    <t>FILM, PL, PE, BLOWN</t>
  </si>
  <si>
    <t>Mega</t>
  </si>
  <si>
    <t>FILM, PL, PET, BIAX ORIENTED</t>
  </si>
  <si>
    <t>Asphalt Concrete</t>
  </si>
  <si>
    <t>Giga</t>
  </si>
  <si>
    <t>FILM, PL, PET, MICROPOROUS</t>
  </si>
  <si>
    <t>Asphalt Shingles</t>
  </si>
  <si>
    <t>Tera</t>
  </si>
  <si>
    <t>FILM, PL, POLYCARBONATE</t>
  </si>
  <si>
    <t>Drywall</t>
  </si>
  <si>
    <t>Molecular Weigh of C</t>
  </si>
  <si>
    <t>FILM, PL, POLYIMIDE</t>
  </si>
  <si>
    <t>Fiberglass Insulation</t>
  </si>
  <si>
    <r>
      <t>Molecular Weight of CO</t>
    </r>
    <r>
      <rPr>
        <vertAlign val="subscript"/>
        <sz val="10"/>
        <rFont val="Arial"/>
        <family val="2"/>
      </rPr>
      <t>2</t>
    </r>
    <r>
      <rPr>
        <sz val="10"/>
        <rFont val="Arial"/>
        <family val="2"/>
      </rPr>
      <t xml:space="preserve"> </t>
    </r>
  </si>
  <si>
    <t>FILM, PL, PP, BIAX ORIENTED</t>
  </si>
  <si>
    <t>Vinyl Flooring</t>
  </si>
  <si>
    <t>FILM, PL, PP, OTHER</t>
  </si>
  <si>
    <t>Wood Flooring</t>
  </si>
  <si>
    <t>FILM, PL, PVC, AGRICULTURAL</t>
  </si>
  <si>
    <t>FILM, SPECIALTY PLASTIC</t>
  </si>
  <si>
    <t>FOAM, SOY BIO-HYBRID</t>
  </si>
  <si>
    <t>GLASS FIBER REINFORCED PLASTIC</t>
  </si>
  <si>
    <t>HIGH DENSITY POLYETHYLENE, DISSOLUTION RECYCLED, PELLET</t>
  </si>
  <si>
    <t>HIGH DENSITY POLYETHYLENE, GASIFICATION RECYCLED, PELLET</t>
  </si>
  <si>
    <t>HIGH DENSITY POLYETHYLENE, MECHANICALLY RECYCLED, FLAKE</t>
  </si>
  <si>
    <t>High density polyethylene, pyrolysis recycled, pellet</t>
  </si>
  <si>
    <t>ION EXCHANGE RESIN</t>
  </si>
  <si>
    <t>LOW DENSITY POLYETHYLENE, DISSOLUTION RECYCLED, PELLET</t>
  </si>
  <si>
    <t>LOW DENSITY POLYETHYLENE, GASIFICATION RECYCLED, PELLET</t>
  </si>
  <si>
    <t>LOW DENSITY POLYETHYLENE, MECHANICALLY RECYCLED, PELLET</t>
  </si>
  <si>
    <t>Low density polyethylene, pyrolysis recycled, pellet</t>
  </si>
  <si>
    <t>MDI AND PMPPI</t>
  </si>
  <si>
    <t>MELAMINE</t>
  </si>
  <si>
    <t>METHYLENE DIPHENYL DIISOCYANATE, RESIN</t>
  </si>
  <si>
    <t>METHYL METHACRYLATE</t>
  </si>
  <si>
    <t>METHYL STYRENE ACRYLONITRILE RESIN</t>
  </si>
  <si>
    <t>MIXED METHYL ESTERS</t>
  </si>
  <si>
    <t>MIXED POLYESTERS</t>
  </si>
  <si>
    <t>Nafion membrane</t>
  </si>
  <si>
    <t>Nafion, recycled</t>
  </si>
  <si>
    <t>NITRILE BARRIER RESIN</t>
  </si>
  <si>
    <t>NYLON 4,6</t>
  </si>
  <si>
    <t>NYLON 6,10</t>
  </si>
  <si>
    <t>NYLON 612, CHIPS</t>
  </si>
  <si>
    <t>NYLON 66, CHIPS</t>
  </si>
  <si>
    <t>NYLON 66, RESIN</t>
  </si>
  <si>
    <t>NYLON 6, BKA</t>
  </si>
  <si>
    <t>NYLON 6, CHIPS</t>
  </si>
  <si>
    <t>NYLON 6, MELT</t>
  </si>
  <si>
    <t>NYLON, SALT, 63% SOLUTION</t>
  </si>
  <si>
    <t>NYLON, SALT, SOLID</t>
  </si>
  <si>
    <t>PERFLUOROALKOXY, RESIN</t>
  </si>
  <si>
    <t>PHENOL FORMALDEHYDE</t>
  </si>
  <si>
    <t>PL FILM, PP, MICROPOROUS</t>
  </si>
  <si>
    <t>POLYACRYLAMIDE, ANIONIC, MW = 10 MILLION</t>
  </si>
  <si>
    <t>POLYACRYLAMIDE, ANIONIC, MW = 20 MILLION</t>
  </si>
  <si>
    <t>POLYACRYLAMIDE, ANIONIC, MW = 7-15 MILLION</t>
  </si>
  <si>
    <t>POLYACRYLAMIDE, ANIONIC, SOLID, MW = 7 MILLION</t>
  </si>
  <si>
    <t>POLYACRYLAMIDE, CATIONIC, MW = 10 MILLION</t>
  </si>
  <si>
    <t>POLYACRYLAMIDE, NONIONIC, MW = 7 MILLION</t>
  </si>
  <si>
    <t>POLYACRYLATE, LATEX</t>
  </si>
  <si>
    <t>POLYACRYLATE, LATEX, MMA-BA-HEMA-AA</t>
  </si>
  <si>
    <t>POLYACRYLATE, PELLETS, MMA-MA-ST</t>
  </si>
  <si>
    <t>POLYACRYLATE, RESIN</t>
  </si>
  <si>
    <t>POLYACRYLATE, RESIN, MMA-EA-HEMA</t>
  </si>
  <si>
    <t>POLYACRYLATE, RESIN, MMA-EMA-MAC</t>
  </si>
  <si>
    <t>POLYACRYLATE, RESIN, SUPERABSORBENT</t>
  </si>
  <si>
    <t>POLYACRYLIC ACID, HIGH MOLECULAR WEIGHT</t>
  </si>
  <si>
    <t>POLYALPHAOLEFIN</t>
  </si>
  <si>
    <t>POLYBUTADIENE</t>
  </si>
  <si>
    <t>POLYBUTENE-1</t>
  </si>
  <si>
    <t>POLYBUTYLENE TEREPHTHALATE, PELLETS</t>
  </si>
  <si>
    <t>POLYBUTYLENE TEREPHTHALATE, PELLETS, 30% GLASS FILLED</t>
  </si>
  <si>
    <t>POLYCARBONATE</t>
  </si>
  <si>
    <t>POLYCARBONATE, GENERIC AM PART</t>
  </si>
  <si>
    <t>POLYCARBONATE, POLYESTER</t>
  </si>
  <si>
    <t>POLYCHLORINATED TERPHENYLS, PELLETS</t>
  </si>
  <si>
    <t>POLY(DELTA VALEROLACTONE)</t>
  </si>
  <si>
    <t>POLYESTER, UNSATURATED</t>
  </si>
  <si>
    <t>POLYETHERETHERKETONE</t>
  </si>
  <si>
    <t>POLYETHERIMIDE</t>
  </si>
  <si>
    <t>POLYETHERSULFONE</t>
  </si>
  <si>
    <t>POLYETHYLENE 2,6-NAPHTHALATE</t>
  </si>
  <si>
    <t>POLYETHYLENE, HIGH DENSITY</t>
  </si>
  <si>
    <t>POLYETHYLENE, HIGH DENSITY, PELLETS, POSTCONSUMER</t>
  </si>
  <si>
    <t>POLYETHYLENE, LINEAR LOW DENSITY</t>
  </si>
  <si>
    <t>POLYETHYLENE, LINEAR LOW DENSITY, INJECTION MOLDED PART</t>
  </si>
  <si>
    <t>POLYETHYLENE, LOW DENSITY</t>
  </si>
  <si>
    <t>POLYETHYLENE, LOW DENSITY, INJECTION MOLDED PART</t>
  </si>
  <si>
    <t>POLYETHYLENE TEREPHTHALATE</t>
  </si>
  <si>
    <t>POLYETHYLENE TEREPHTHALATE, DECONSTRUCTED</t>
  </si>
  <si>
    <t>POLYETHYLENE TEREPHTHALATE, DISSOLUTION RECYCLED, PELLET</t>
  </si>
  <si>
    <t>POLYETHYLENE TEREPHTHALATE, ENZYMATICALLY RECYCLED, PELLET</t>
  </si>
  <si>
    <t>POLYETHYLENE TEREPHTHALATE, FIBER</t>
  </si>
  <si>
    <t>POLYETHYLENE TEREPHTHALATE, FLAKE, POSTCONSUMER</t>
  </si>
  <si>
    <t>POLYETHYLENE TEREPHTHALATE, GASIFICATION RECYCLED, PELLET</t>
  </si>
  <si>
    <t>POLYETHYLENE TEREPHTHALATE, GLYCOLYSIS RECYCLED, PELLET</t>
  </si>
  <si>
    <t>POLYETHYLENE TEREPHTHALATE, METHANOLYSIS RECYCLING, PELLET</t>
  </si>
  <si>
    <t>POLYETHYLENE TEREPHTHALATE, PELLETS</t>
  </si>
  <si>
    <t>POLYETHYLENE TEREPHTHALATE, PELLETS, 30% GLASS FILLED</t>
  </si>
  <si>
    <t>POLYETHYLENE TEREPHTHALATE, PELLETS, AMORPHOUS</t>
  </si>
  <si>
    <t>POLYETHYLENE TEREPHTHALATE, PELLETS, BOTTLE GRADE</t>
  </si>
  <si>
    <t>POLYETHYLENE TEREPHTHALATE, PELLETS, GLYCOL MODIFIED</t>
  </si>
  <si>
    <t>POLYETHYLENE TEREPHTHALATE, PELLETS, POSTCONSUMER</t>
  </si>
  <si>
    <t>POLYETHYLENE TEREPHTHALATE, PELLETS, SPECIALTY</t>
  </si>
  <si>
    <t>POLYETHYLENE TEREPHTHALATE, PYROLYSIS RECYCLED, PELLET</t>
  </si>
  <si>
    <t>POLYETHYLENE, VERY LOW DENSITY</t>
  </si>
  <si>
    <t>POLY(ETHYL MUCONATE ESTER)</t>
  </si>
  <si>
    <t>POLYHYDROXYALKANOATES</t>
  </si>
  <si>
    <t>POLYHYDROXYBUTYRATES</t>
  </si>
  <si>
    <t>POLYISOBUTYLENE</t>
  </si>
  <si>
    <t>POLYISOBUTYLENE SUCCINIC ANHYDRIDE (PIBSA)</t>
  </si>
  <si>
    <t>POLYISOCYANURATE RIGID FOAM</t>
  </si>
  <si>
    <t>POLYMER, DEGRADABLE</t>
  </si>
  <si>
    <t>POLYMER, DEGRADABLE, STARCH, POLYCAPROLACTONE</t>
  </si>
  <si>
    <t>POLYMER, r-PET</t>
  </si>
  <si>
    <t>POLYMETHYLENE POLYPHENYLENE POLYAMINE</t>
  </si>
  <si>
    <t>POLY(METHYL METHACRYLATE)</t>
  </si>
  <si>
    <t>POLY(METHYL METHACRYLATE), PELLETS</t>
  </si>
  <si>
    <t>POLY(METHYL METHACRYLATE), SHEETS</t>
  </si>
  <si>
    <t>POLYOLEFINS, FLAKE, POSTCONSUMER, INCLUDES COLLECTION-MRF</t>
  </si>
  <si>
    <t>POLYOL, POLYESTER</t>
  </si>
  <si>
    <t>POLYOL, TRIFUNC POLYETHER</t>
  </si>
  <si>
    <t>POLYPHENYLENE SULFIDE, NEAT</t>
  </si>
  <si>
    <t>POLYPROPYLENE, BLENDS</t>
  </si>
  <si>
    <t>POLY(PROPYLENE CARBONATE)</t>
  </si>
  <si>
    <t>POLYPROPYLENE/CLAY NANOCOMPOSITES</t>
  </si>
  <si>
    <t>POLYPROPYLENE, COPOLYMER</t>
  </si>
  <si>
    <t>POLYPROPYLENE, DISSOLUTION RECYCLED, PELLET</t>
  </si>
  <si>
    <t>POLYPROPYLENE, FIBER</t>
  </si>
  <si>
    <t>POLYPROPYLENE, GASIFICATION RECYCLED, PELLET</t>
  </si>
  <si>
    <t>POLYPROPYLENE, HOMOPOLYMER</t>
  </si>
  <si>
    <t>POLYPROPYLENE, INJECTION MOLDED PART</t>
  </si>
  <si>
    <t>POLYPROPYLENE, MECHANICALLY RECYCLED, PELLET</t>
  </si>
  <si>
    <t>Polypropylene, pyrolysis recycled, pellet</t>
  </si>
  <si>
    <t>POLY(STYRENE/ALPHA-METHYLSTYRENE/ACRYLIC ACID)</t>
  </si>
  <si>
    <t>POLYSTYRENE, BEADS</t>
  </si>
  <si>
    <t>POLY(STYRENE-DIVINYLBENZENE)</t>
  </si>
  <si>
    <t>POLYSTYRENE, GENERAL PURPOSE</t>
  </si>
  <si>
    <t>POLYSTYRENE, HIGH IMPACT</t>
  </si>
  <si>
    <t>POLY(STYRENE-MALEIC ANHYDRIDE)</t>
  </si>
  <si>
    <t>POLY(STYRENE-METHYL METHACRYLATE)</t>
  </si>
  <si>
    <t>POLYSTYRENE, OTHER</t>
  </si>
  <si>
    <t>POLYSTYRENE, SYNDIOTACTIC</t>
  </si>
  <si>
    <t>POLYURETHANE, FOAM, BOARDSTOCK</t>
  </si>
  <si>
    <t>POLYURETHANE, FOAM, SLABSTOCK</t>
  </si>
  <si>
    <t>POLYURETHANE, RIM</t>
  </si>
  <si>
    <t>POLYVINYL ACETATE, BEADS</t>
  </si>
  <si>
    <t>POLYVINYL ACETATE LATEX</t>
  </si>
  <si>
    <t>POLYVINYL ACETATE, PELLETS</t>
  </si>
  <si>
    <t>POLYVINYL ALCOHOL</t>
  </si>
  <si>
    <t>POLYVINYL CHLORIDE</t>
  </si>
  <si>
    <t>POLYVINYL CHLORIDE, CHLORINATED</t>
  </si>
  <si>
    <t>POLYVINYL CHLORIDE/NITRILE RUBBER BLENDS</t>
  </si>
  <si>
    <t>POLYVINYL FLUORIDE</t>
  </si>
  <si>
    <t>POLYVINYL FLUORIDE, DISPERSION</t>
  </si>
  <si>
    <t>POLYVINYL FLUORIDE, FILM</t>
  </si>
  <si>
    <t>POLYVINYLIDENE DIFLUORIDE</t>
  </si>
  <si>
    <t>POSTCONSUMER PLASTIC BALE, AT MRF</t>
  </si>
  <si>
    <t>ROSIN SIZE</t>
  </si>
  <si>
    <t>RUBBER, NATURAL</t>
  </si>
  <si>
    <t>SODIUM PERSULFATE</t>
  </si>
  <si>
    <t>STYRENE ACRYLONITRILE, RESIN</t>
  </si>
  <si>
    <t>STYRENE-BUTADIENE BLOCK COPOLYMER</t>
  </si>
  <si>
    <t>STYRENE-BUTADIENE RUBBER</t>
  </si>
  <si>
    <t>STYRENE BUTADIENE, STAR BLOCK COPOLYMER</t>
  </si>
  <si>
    <t>STYRENE-MALEIC ANHYDRIDE RESIN</t>
  </si>
  <si>
    <t>VINYL ACETATE</t>
  </si>
  <si>
    <t>VINYL CHLORIDE</t>
  </si>
  <si>
    <t>VINYL ESTER RESIN</t>
  </si>
  <si>
    <t>VINYLIDENE CHLORIDE EMULSION COPOLYMER</t>
  </si>
  <si>
    <t>Primary Metals</t>
  </si>
  <si>
    <t>ALUMINA</t>
  </si>
  <si>
    <t>ALUMINUM, PRIMARY, INGOT</t>
  </si>
  <si>
    <t>BRASS, INGOTS</t>
  </si>
  <si>
    <t>BRONZE, INGOTS</t>
  </si>
  <si>
    <t>CADMIUM, PRIMARY</t>
  </si>
  <si>
    <t>COPPER, PRIMARY</t>
  </si>
  <si>
    <t>COPPER TELLURIDE CEMENT</t>
  </si>
  <si>
    <t>FERRITIC STEEL</t>
  </si>
  <si>
    <t>FERROCHROMIUM, HIGH-CARBON, 68% Cr</t>
  </si>
  <si>
    <t>FERROMANGANESE, HIGH-COAL, 74.5% Mn</t>
  </si>
  <si>
    <t>FERRONICKEL, 25% Ni</t>
  </si>
  <si>
    <t>GOLD, PRIMARY</t>
  </si>
  <si>
    <t>IRON, CAST</t>
  </si>
  <si>
    <t>LEAD, PRIMARY</t>
  </si>
  <si>
    <t>MAGNESIUM</t>
  </si>
  <si>
    <t>NbTi/Cu WIRE</t>
  </si>
  <si>
    <t>PALLADIUM, SECONDARY</t>
  </si>
  <si>
    <t>PLATINUM, PRIMARY</t>
  </si>
  <si>
    <t>SILICON, METALLURGICAL GRADE</t>
  </si>
  <si>
    <t>SILVER</t>
  </si>
  <si>
    <t>STEEL, ALLOYED</t>
  </si>
  <si>
    <t>STEEL, STAINLESS</t>
  </si>
  <si>
    <t>STEEL, ULTRA HIGH STRENGTH</t>
  </si>
  <si>
    <t>STEEL, UNALLOYED</t>
  </si>
  <si>
    <t>TELLURIUM, SEMICONDUCTOR-GRADE</t>
  </si>
  <si>
    <t>TITANIUM, INGOT</t>
  </si>
  <si>
    <t>ZIRCON, 50% ZIRCONIUM</t>
  </si>
  <si>
    <t>ZIRCONIA, YTTRIA STABILIZED</t>
  </si>
  <si>
    <t>Specialty Carbon Products</t>
  </si>
  <si>
    <t>CARBON FIBER</t>
  </si>
  <si>
    <t>CARBON FIBER REINFORCED PLASTIC</t>
  </si>
  <si>
    <t>GRAPHITE</t>
  </si>
  <si>
    <t>GRAPHITE FIBER</t>
  </si>
  <si>
    <t>YES</t>
  </si>
  <si>
    <t>Aluminium</t>
  </si>
  <si>
    <t>1&amp;2</t>
  </si>
  <si>
    <t>NO</t>
  </si>
  <si>
    <t>1,2&amp;3</t>
  </si>
  <si>
    <t>Alaska Plant 1</t>
  </si>
  <si>
    <t>Alaska Plant 2</t>
  </si>
  <si>
    <t>Alaska Plant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</si>
</sst>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 #,##0.00_-;_-* &quot;-&quot;??_-;_-@_-"/>
    <numFmt numFmtId="164" formatCode="_(* #,##0.00_);_(* \(#,##0.00\);_(* &quot;-&quot;??_);_(@_)"/>
    <numFmt numFmtId="165" formatCode="0.0"/>
    <numFmt numFmtId="166" formatCode="_(* #,##0.00000_);_(* \(#,##0.00000\);_(* &quot;-&quot;??_);_(@_)"/>
    <numFmt numFmtId="167" formatCode="_(* #,##0_);_(* \(#,##0\);_(* &quot;-&quot;??_);_(@_)"/>
    <numFmt numFmtId="168" formatCode="0.0000"/>
    <numFmt numFmtId="169" formatCode="_(* #,##0.000_);_(* \(#,##0.000\);_(* &quot;-&quot;??_);_(@_)"/>
    <numFmt numFmtId="170" formatCode="_(* #,##0.0000_);_(* \(#,##0.0000\);_(* &quot;-&quot;??_);_(@_)"/>
    <numFmt numFmtId="171" formatCode="#,##0.0"/>
    <numFmt numFmtId="172" formatCode="0.000"/>
    <numFmt numFmtId="173" formatCode="_(* #,##0.0000_);_(* \(#,##0.0000\);_(@_)"/>
    <numFmt numFmtId="174" formatCode="General_)"/>
    <numFmt numFmtId="175" formatCode="_(* #,##0_);_(* \(#,##0\);_(@_)"/>
    <numFmt numFmtId="176" formatCode="0.000000000"/>
    <numFmt numFmtId="177" formatCode="#,##0.0000"/>
    <numFmt numFmtId="178" formatCode="_(* #,##0.0000000_);_(* \(#,##0.0000000\);_(* &quot;-&quot;??_);_(@_)"/>
    <numFmt numFmtId="179" formatCode="_(* #,##0.0_);_(* \(#,##0.0\);_(* &quot;-&quot;??_);_(@_)"/>
    <numFmt numFmtId="180" formatCode="_-* #,##0.0\ _€_-;\-* #,##0.0\ _€_-;_-* &quot;-&quot;?\ _€_-;_-@_-"/>
  </numFmts>
  <fonts count="37">
    <font>
      <sz val="11"/>
      <color theme="1"/>
      <name val="Frutiger LT Com 45 Light"/>
      <family val="2"/>
      <scheme val="minor"/>
    </font>
    <font>
      <sz val="11"/>
      <color theme="1"/>
      <name val="Frutiger LT Com 45 Light"/>
      <family val="2"/>
      <scheme val="minor"/>
    </font>
    <font>
      <b/>
      <sz val="11"/>
      <color theme="1"/>
      <name val="Frutiger LT Com 45 Light"/>
      <family val="2"/>
      <scheme val="minor"/>
    </font>
    <font>
      <b/>
      <sz val="10"/>
      <name val="Arial"/>
      <family val="2"/>
    </font>
    <font>
      <b/>
      <vertAlign val="subscript"/>
      <sz val="10"/>
      <name val="Arial"/>
      <family val="2"/>
    </font>
    <font>
      <sz val="10"/>
      <name val="Arial"/>
      <family val="2"/>
    </font>
    <font>
      <sz val="10"/>
      <name val="Verdana"/>
      <family val="2"/>
    </font>
    <font>
      <sz val="8"/>
      <color indexed="81"/>
      <name val="Tahoma"/>
      <family val="2"/>
    </font>
    <font>
      <sz val="9"/>
      <color indexed="81"/>
      <name val="Tahoma"/>
      <family val="2"/>
    </font>
    <font>
      <sz val="10"/>
      <name val="Geneva"/>
      <family val="2"/>
    </font>
    <font>
      <vertAlign val="subscript"/>
      <sz val="10"/>
      <name val="Arial"/>
      <family val="2"/>
    </font>
    <font>
      <sz val="7"/>
      <name val="Arial"/>
      <family val="2"/>
    </font>
    <font>
      <sz val="18"/>
      <color theme="3"/>
      <name val="Frutiger LT Com 45 Light"/>
      <family val="2"/>
      <scheme val="major"/>
    </font>
    <font>
      <b/>
      <sz val="13"/>
      <color theme="3"/>
      <name val="Frutiger LT Com 45 Light"/>
      <family val="2"/>
      <scheme val="minor"/>
    </font>
    <font>
      <b/>
      <sz val="11"/>
      <color theme="4" tint="-0.499984740745262"/>
      <name val="Frutiger LT Com 45 Light"/>
      <family val="2"/>
      <scheme val="minor"/>
    </font>
    <font>
      <sz val="11"/>
      <name val="Frutiger LT Com 45 Light"/>
      <family val="2"/>
      <scheme val="minor"/>
    </font>
    <font>
      <b/>
      <sz val="11"/>
      <color theme="3"/>
      <name val="Frutiger LT Com 45 Light"/>
      <family val="2"/>
      <scheme val="minor"/>
    </font>
    <font>
      <sz val="10"/>
      <name val="Arial"/>
      <family val="2"/>
    </font>
    <font>
      <i/>
      <sz val="10"/>
      <name val="Arial"/>
      <family val="2"/>
    </font>
    <font>
      <b/>
      <sz val="11"/>
      <name val="Frutiger LT Com 45 Light"/>
      <family val="2"/>
      <scheme val="minor"/>
    </font>
    <font>
      <b/>
      <sz val="10"/>
      <name val="Frutiger LT Com 45 Light"/>
      <family val="2"/>
      <scheme val="major"/>
    </font>
    <font>
      <sz val="11"/>
      <color theme="1"/>
      <name val="Frutiger LT Com 45 Light"/>
      <family val="2"/>
      <scheme val="major"/>
    </font>
    <font>
      <sz val="10"/>
      <name val="Frutiger LT Com 45 Light"/>
      <family val="2"/>
      <scheme val="major"/>
    </font>
    <font>
      <i/>
      <sz val="10"/>
      <name val="Frutiger LT Com 45 Light"/>
      <family val="2"/>
      <scheme val="major"/>
    </font>
    <font>
      <b/>
      <sz val="11"/>
      <name val="Frutiger LT Com 45 Light"/>
      <family val="2"/>
      <scheme val="major"/>
    </font>
    <font>
      <sz val="11"/>
      <name val="Frutiger LT Com 45 Light"/>
      <family val="2"/>
      <scheme val="major"/>
    </font>
    <font>
      <vertAlign val="subscript"/>
      <sz val="10"/>
      <name val="Frutiger LT Com 45 Light"/>
      <family val="2"/>
      <scheme val="major"/>
    </font>
    <font>
      <b/>
      <sz val="9"/>
      <color theme="1"/>
      <name val="Frutiger LT Com 45 Light"/>
      <family val="2"/>
      <scheme val="minor"/>
    </font>
    <font>
      <sz val="11"/>
      <color theme="1"/>
      <name val="Calibri"/>
      <family val="2"/>
    </font>
    <font>
      <b/>
      <sz val="8"/>
      <color theme="1"/>
      <name val="Frutiger LT Com 45 Light"/>
      <family val="2"/>
      <scheme val="minor"/>
    </font>
    <font>
      <sz val="11"/>
      <name val="Arial"/>
      <family val="1"/>
    </font>
    <font>
      <b/>
      <sz val="12"/>
      <name val="Arial"/>
      <family val="1"/>
    </font>
    <font>
      <b/>
      <sz val="11"/>
      <color rgb="FFFF0000"/>
      <name val="Frutiger LT Com 45 Light"/>
      <family val="2"/>
      <scheme val="minor"/>
    </font>
    <font>
      <i/>
      <sz val="11"/>
      <name val="Frutiger LT Com 45 Light"/>
      <family val="2"/>
      <scheme val="minor"/>
    </font>
    <font>
      <sz val="10"/>
      <name val="Frutiger LT Com 45 Light"/>
      <family val="2"/>
      <scheme val="minor"/>
    </font>
    <font>
      <sz val="9"/>
      <name val="Arial"/>
      <family val="2"/>
    </font>
    <font>
      <sz val="11"/>
      <color rgb="FF000000"/>
      <name val="Frutiger LT Com 45 Light"/>
      <charset val="1"/>
    </font>
  </fonts>
  <fills count="19">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
      <patternFill patternType="solid">
        <fgColor rgb="FFC0C0C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rgb="FFB1BCD2"/>
      </patternFill>
    </fill>
    <fill>
      <patternFill patternType="solid">
        <fgColor theme="0" tint="-4.9989318521683403E-2"/>
        <bgColor indexed="64"/>
      </patternFill>
    </fill>
  </fills>
  <borders count="73">
    <border>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ck">
        <color theme="4" tint="0.499984740745262"/>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medium">
        <color indexed="64"/>
      </top>
      <bottom style="medium">
        <color indexed="64"/>
      </bottom>
      <diagonal/>
    </border>
    <border>
      <left/>
      <right style="medium">
        <color indexed="64"/>
      </right>
      <top/>
      <bottom style="thin">
        <color indexed="64"/>
      </bottom>
      <diagonal/>
    </border>
    <border>
      <left style="thin">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12" fillId="0" borderId="0" applyNumberFormat="0" applyFill="0" applyBorder="0" applyAlignment="0" applyProtection="0"/>
    <xf numFmtId="0" fontId="13" fillId="0" borderId="52" applyNumberFormat="0" applyFill="0" applyAlignment="0" applyProtection="0"/>
    <xf numFmtId="0" fontId="16" fillId="0" borderId="0" applyNumberFormat="0" applyFill="0" applyBorder="0" applyAlignment="0" applyProtection="0"/>
    <xf numFmtId="0" fontId="17" fillId="0" borderId="0"/>
    <xf numFmtId="0" fontId="30" fillId="0" borderId="0"/>
  </cellStyleXfs>
  <cellXfs count="523">
    <xf numFmtId="0" fontId="0" fillId="0" borderId="0" xfId="0"/>
    <xf numFmtId="0" fontId="2" fillId="0" borderId="0" xfId="0" applyFont="1"/>
    <xf numFmtId="0" fontId="3" fillId="3" borderId="2" xfId="0" applyFont="1" applyFill="1" applyBorder="1" applyAlignment="1">
      <alignment horizontal="center" wrapText="1"/>
    </xf>
    <xf numFmtId="0" fontId="3" fillId="3" borderId="5" xfId="0" applyFont="1" applyFill="1" applyBorder="1" applyAlignment="1">
      <alignment horizontal="center" vertical="top" wrapText="1"/>
    </xf>
    <xf numFmtId="0" fontId="3" fillId="3" borderId="6" xfId="0" applyFont="1" applyFill="1" applyBorder="1" applyAlignment="1">
      <alignment horizontal="center" vertical="top" wrapText="1"/>
    </xf>
    <xf numFmtId="0" fontId="5" fillId="4" borderId="7" xfId="0" applyFont="1" applyFill="1" applyBorder="1"/>
    <xf numFmtId="0" fontId="5" fillId="2" borderId="8" xfId="0" applyFont="1" applyFill="1" applyBorder="1"/>
    <xf numFmtId="165" fontId="5" fillId="2" borderId="8" xfId="0" applyNumberFormat="1" applyFont="1" applyFill="1" applyBorder="1"/>
    <xf numFmtId="2" fontId="5" fillId="2" borderId="8" xfId="0" applyNumberFormat="1" applyFont="1" applyFill="1" applyBorder="1"/>
    <xf numFmtId="166" fontId="5" fillId="2" borderId="8" xfId="2" applyNumberFormat="1" applyFont="1" applyFill="1" applyBorder="1"/>
    <xf numFmtId="0" fontId="5" fillId="4" borderId="9" xfId="0" applyFont="1" applyFill="1" applyBorder="1"/>
    <xf numFmtId="0" fontId="5" fillId="4" borderId="10" xfId="0" applyFont="1" applyFill="1" applyBorder="1"/>
    <xf numFmtId="0" fontId="0" fillId="2" borderId="8" xfId="0" applyFill="1" applyBorder="1"/>
    <xf numFmtId="0" fontId="5" fillId="0" borderId="11" xfId="0" applyFont="1" applyBorder="1"/>
    <xf numFmtId="0" fontId="5" fillId="2" borderId="10" xfId="0" applyFont="1" applyFill="1" applyBorder="1"/>
    <xf numFmtId="165" fontId="5" fillId="2" borderId="10" xfId="0" applyNumberFormat="1" applyFont="1" applyFill="1" applyBorder="1"/>
    <xf numFmtId="2" fontId="5" fillId="2" borderId="10" xfId="0" applyNumberFormat="1" applyFont="1" applyFill="1" applyBorder="1"/>
    <xf numFmtId="164" fontId="5" fillId="2" borderId="10" xfId="2" applyFont="1" applyFill="1" applyBorder="1"/>
    <xf numFmtId="0" fontId="5" fillId="4" borderId="12" xfId="0" applyFont="1" applyFill="1" applyBorder="1"/>
    <xf numFmtId="0" fontId="0" fillId="2" borderId="10" xfId="0" applyFill="1" applyBorder="1"/>
    <xf numFmtId="2" fontId="0" fillId="2" borderId="10" xfId="0" applyNumberFormat="1" applyFill="1" applyBorder="1"/>
    <xf numFmtId="0" fontId="5" fillId="4" borderId="11" xfId="0" applyFont="1" applyFill="1" applyBorder="1"/>
    <xf numFmtId="167" fontId="5" fillId="4" borderId="10" xfId="1" applyNumberFormat="1" applyFont="1" applyFill="1" applyBorder="1"/>
    <xf numFmtId="167" fontId="5" fillId="2" borderId="10" xfId="1" applyNumberFormat="1" applyFont="1" applyFill="1" applyBorder="1"/>
    <xf numFmtId="0" fontId="5" fillId="0" borderId="12" xfId="0" applyFont="1" applyBorder="1"/>
    <xf numFmtId="0" fontId="0" fillId="2" borderId="13" xfId="0" applyFill="1" applyBorder="1"/>
    <xf numFmtId="0" fontId="5" fillId="0" borderId="14" xfId="0" applyFont="1" applyBorder="1"/>
    <xf numFmtId="0" fontId="5" fillId="0" borderId="10" xfId="0" applyFont="1" applyBorder="1"/>
    <xf numFmtId="167" fontId="5" fillId="2" borderId="10" xfId="2" applyNumberFormat="1" applyFont="1" applyFill="1" applyBorder="1"/>
    <xf numFmtId="0" fontId="5" fillId="2" borderId="11" xfId="0" applyFont="1" applyFill="1" applyBorder="1"/>
    <xf numFmtId="164" fontId="5" fillId="2" borderId="10" xfId="2" applyFont="1" applyFill="1" applyBorder="1" applyAlignment="1">
      <alignment vertical="center"/>
    </xf>
    <xf numFmtId="0" fontId="5" fillId="2" borderId="15" xfId="0" applyFont="1" applyFill="1" applyBorder="1"/>
    <xf numFmtId="0" fontId="5" fillId="2" borderId="13" xfId="0" applyFont="1" applyFill="1" applyBorder="1"/>
    <xf numFmtId="164" fontId="5" fillId="2" borderId="13" xfId="2" applyFont="1" applyFill="1" applyBorder="1" applyAlignment="1">
      <alignment vertical="center"/>
    </xf>
    <xf numFmtId="0" fontId="5" fillId="4" borderId="15" xfId="0" applyFont="1" applyFill="1" applyBorder="1"/>
    <xf numFmtId="0" fontId="3" fillId="3" borderId="16" xfId="0" applyFont="1" applyFill="1" applyBorder="1" applyAlignment="1">
      <alignment horizontal="left" vertical="center"/>
    </xf>
    <xf numFmtId="0" fontId="3" fillId="3" borderId="5" xfId="0" applyFont="1" applyFill="1" applyBorder="1" applyAlignment="1">
      <alignment horizontal="center" vertical="center" wrapText="1"/>
    </xf>
    <xf numFmtId="0" fontId="3" fillId="3" borderId="5" xfId="0" applyFont="1" applyFill="1" applyBorder="1" applyAlignment="1">
      <alignment horizontal="center" wrapText="1"/>
    </xf>
    <xf numFmtId="0" fontId="3" fillId="3" borderId="6" xfId="0" applyFont="1" applyFill="1" applyBorder="1" applyAlignment="1">
      <alignment horizontal="center" wrapText="1"/>
    </xf>
    <xf numFmtId="168" fontId="0" fillId="0" borderId="10" xfId="0" applyNumberFormat="1" applyBorder="1"/>
    <xf numFmtId="168" fontId="5" fillId="0" borderId="10" xfId="1" applyNumberFormat="1" applyFont="1" applyFill="1" applyBorder="1"/>
    <xf numFmtId="0" fontId="9" fillId="4" borderId="10" xfId="0" applyFont="1" applyFill="1" applyBorder="1" applyAlignment="1">
      <alignment horizontal="left" vertical="center"/>
    </xf>
    <xf numFmtId="0" fontId="0" fillId="0" borderId="10" xfId="0" applyBorder="1" applyAlignment="1">
      <alignment vertical="center"/>
    </xf>
    <xf numFmtId="168" fontId="5" fillId="0" borderId="10" xfId="0" applyNumberFormat="1" applyFont="1" applyBorder="1"/>
    <xf numFmtId="0" fontId="3" fillId="3" borderId="1" xfId="0" applyFont="1" applyFill="1" applyBorder="1" applyAlignment="1">
      <alignment vertical="center"/>
    </xf>
    <xf numFmtId="0" fontId="3" fillId="3" borderId="4" xfId="0" applyFont="1" applyFill="1" applyBorder="1" applyAlignment="1">
      <alignment vertical="center"/>
    </xf>
    <xf numFmtId="0" fontId="3" fillId="3" borderId="6" xfId="0" applyFont="1" applyFill="1" applyBorder="1" applyAlignment="1">
      <alignment horizontal="center" vertical="center" wrapText="1"/>
    </xf>
    <xf numFmtId="0" fontId="3" fillId="3" borderId="3" xfId="0" applyFont="1" applyFill="1" applyBorder="1" applyAlignment="1">
      <alignment horizont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top" wrapText="1"/>
    </xf>
    <xf numFmtId="0" fontId="5" fillId="0" borderId="7" xfId="0" applyFont="1" applyBorder="1"/>
    <xf numFmtId="169" fontId="5" fillId="0" borderId="8" xfId="1" applyNumberFormat="1" applyFont="1" applyFill="1" applyBorder="1"/>
    <xf numFmtId="0" fontId="5" fillId="0" borderId="9" xfId="0" applyFont="1" applyBorder="1"/>
    <xf numFmtId="169" fontId="5" fillId="0" borderId="10" xfId="1" applyNumberFormat="1" applyFont="1" applyFill="1" applyBorder="1"/>
    <xf numFmtId="0" fontId="5" fillId="0" borderId="15" xfId="0" applyFont="1" applyBorder="1"/>
    <xf numFmtId="169" fontId="5" fillId="0" borderId="13" xfId="1" applyNumberFormat="1" applyFont="1" applyFill="1" applyBorder="1"/>
    <xf numFmtId="0" fontId="5" fillId="0" borderId="20" xfId="0" applyFont="1" applyBorder="1"/>
    <xf numFmtId="170" fontId="5" fillId="0" borderId="10" xfId="1" applyNumberFormat="1" applyFont="1" applyFill="1" applyBorder="1"/>
    <xf numFmtId="0" fontId="5" fillId="0" borderId="21" xfId="0" applyFont="1" applyBorder="1"/>
    <xf numFmtId="0" fontId="5" fillId="0" borderId="22" xfId="0" applyFont="1" applyBorder="1"/>
    <xf numFmtId="169" fontId="5" fillId="0" borderId="19" xfId="1" applyNumberFormat="1" applyFont="1" applyFill="1" applyBorder="1"/>
    <xf numFmtId="170" fontId="5" fillId="0" borderId="19" xfId="1" applyNumberFormat="1" applyFont="1" applyFill="1" applyBorder="1"/>
    <xf numFmtId="170" fontId="5" fillId="0" borderId="23" xfId="1" applyNumberFormat="1" applyFont="1" applyFill="1" applyBorder="1"/>
    <xf numFmtId="169" fontId="5" fillId="0" borderId="18" xfId="1" applyNumberFormat="1" applyFont="1" applyFill="1" applyBorder="1"/>
    <xf numFmtId="0" fontId="5" fillId="0" borderId="11" xfId="0" applyFont="1" applyBorder="1" applyAlignment="1">
      <alignment vertical="center" wrapText="1"/>
    </xf>
    <xf numFmtId="170" fontId="5" fillId="0" borderId="24" xfId="1" applyNumberFormat="1" applyFont="1" applyFill="1" applyBorder="1"/>
    <xf numFmtId="170" fontId="5" fillId="0" borderId="13" xfId="1" applyNumberFormat="1" applyFont="1" applyFill="1" applyBorder="1"/>
    <xf numFmtId="0" fontId="3" fillId="3" borderId="4" xfId="0" applyFont="1" applyFill="1" applyBorder="1" applyAlignment="1">
      <alignment horizontal="center" vertical="center" wrapText="1"/>
    </xf>
    <xf numFmtId="0" fontId="3" fillId="3" borderId="27" xfId="0" applyFont="1" applyFill="1" applyBorder="1" applyAlignment="1">
      <alignment horizontal="center"/>
    </xf>
    <xf numFmtId="0" fontId="3" fillId="3" borderId="28" xfId="0" applyFont="1" applyFill="1" applyBorder="1" applyAlignment="1">
      <alignment horizontal="center"/>
    </xf>
    <xf numFmtId="0" fontId="3" fillId="3" borderId="32" xfId="0" applyFont="1" applyFill="1" applyBorder="1" applyAlignment="1">
      <alignment horizontal="center"/>
    </xf>
    <xf numFmtId="0" fontId="3" fillId="3" borderId="33" xfId="0" applyFont="1" applyFill="1" applyBorder="1" applyAlignment="1">
      <alignment horizontal="center"/>
    </xf>
    <xf numFmtId="171" fontId="5" fillId="0" borderId="37" xfId="0" applyNumberFormat="1" applyFont="1" applyBorder="1"/>
    <xf numFmtId="172" fontId="5" fillId="0" borderId="38" xfId="0" applyNumberFormat="1" applyFont="1" applyBorder="1"/>
    <xf numFmtId="171" fontId="5" fillId="0" borderId="23" xfId="0" applyNumberFormat="1" applyFont="1" applyBorder="1"/>
    <xf numFmtId="172" fontId="5" fillId="0" borderId="41" xfId="0" applyNumberFormat="1" applyFont="1" applyBorder="1"/>
    <xf numFmtId="171" fontId="5" fillId="0" borderId="45" xfId="0" applyNumberFormat="1" applyFont="1" applyBorder="1"/>
    <xf numFmtId="172" fontId="5" fillId="0" borderId="46" xfId="0" applyNumberFormat="1" applyFont="1" applyBorder="1"/>
    <xf numFmtId="0" fontId="5" fillId="4" borderId="48" xfId="0" applyFont="1" applyFill="1" applyBorder="1"/>
    <xf numFmtId="170" fontId="5" fillId="0" borderId="8" xfId="1" applyNumberFormat="1" applyFont="1" applyFill="1" applyBorder="1"/>
    <xf numFmtId="173" fontId="5" fillId="0" borderId="13" xfId="1" quotePrefix="1" applyNumberFormat="1" applyFont="1" applyFill="1" applyBorder="1" applyAlignment="1">
      <alignment horizontal="right"/>
    </xf>
    <xf numFmtId="43" fontId="1" fillId="0" borderId="8" xfId="1" applyFill="1" applyBorder="1" applyAlignment="1">
      <alignment horizontal="right"/>
    </xf>
    <xf numFmtId="43" fontId="1" fillId="0" borderId="10" xfId="1" applyFill="1" applyBorder="1" applyAlignment="1">
      <alignment horizontal="right"/>
    </xf>
    <xf numFmtId="43" fontId="1" fillId="0" borderId="13" xfId="1" applyFill="1" applyBorder="1" applyAlignment="1">
      <alignment horizontal="right"/>
    </xf>
    <xf numFmtId="0" fontId="0" fillId="0" borderId="16" xfId="0" applyBorder="1"/>
    <xf numFmtId="0" fontId="3" fillId="0" borderId="4" xfId="0" applyFont="1" applyBorder="1" applyAlignment="1">
      <alignment horizontal="center"/>
    </xf>
    <xf numFmtId="0" fontId="0" fillId="2" borderId="49" xfId="0" applyFill="1" applyBorder="1"/>
    <xf numFmtId="0" fontId="0" fillId="2" borderId="50" xfId="0" applyFill="1" applyBorder="1"/>
    <xf numFmtId="0" fontId="3" fillId="3" borderId="1" xfId="0" applyFont="1" applyFill="1" applyBorder="1" applyAlignment="1">
      <alignment horizontal="center" wrapText="1"/>
    </xf>
    <xf numFmtId="0" fontId="3" fillId="6" borderId="1" xfId="0" applyFont="1" applyFill="1" applyBorder="1" applyAlignment="1">
      <alignment horizontal="center" vertical="top" wrapText="1"/>
    </xf>
    <xf numFmtId="0" fontId="3" fillId="3" borderId="28" xfId="0" applyFont="1" applyFill="1" applyBorder="1" applyAlignment="1">
      <alignment horizontal="center" vertical="top" wrapText="1"/>
    </xf>
    <xf numFmtId="0" fontId="5" fillId="4" borderId="35" xfId="0" applyFont="1" applyFill="1" applyBorder="1"/>
    <xf numFmtId="167" fontId="5" fillId="0" borderId="9" xfId="1" applyNumberFormat="1" applyFont="1" applyFill="1" applyBorder="1"/>
    <xf numFmtId="175" fontId="9" fillId="4" borderId="37" xfId="1" applyNumberFormat="1" applyFont="1" applyFill="1" applyBorder="1" applyAlignment="1"/>
    <xf numFmtId="0" fontId="5" fillId="4" borderId="22" xfId="0" applyFont="1" applyFill="1" applyBorder="1"/>
    <xf numFmtId="167" fontId="5" fillId="0" borderId="12" xfId="1" applyNumberFormat="1" applyFont="1" applyFill="1" applyBorder="1"/>
    <xf numFmtId="175" fontId="9" fillId="4" borderId="23" xfId="1" applyNumberFormat="1" applyFont="1" applyFill="1" applyBorder="1" applyAlignment="1"/>
    <xf numFmtId="175" fontId="9" fillId="2" borderId="23" xfId="1" applyNumberFormat="1" applyFont="1" applyFill="1" applyBorder="1" applyAlignment="1"/>
    <xf numFmtId="0" fontId="5" fillId="0" borderId="11" xfId="0" applyFont="1" applyBorder="1" applyAlignment="1">
      <alignment horizontal="left"/>
    </xf>
    <xf numFmtId="167" fontId="5" fillId="0" borderId="14" xfId="1" applyNumberFormat="1" applyFont="1" applyFill="1" applyBorder="1" applyAlignment="1">
      <alignment horizontal="right"/>
    </xf>
    <xf numFmtId="175" fontId="9" fillId="4" borderId="45" xfId="1" applyNumberFormat="1" applyFont="1" applyFill="1" applyBorder="1" applyAlignment="1"/>
    <xf numFmtId="0" fontId="3" fillId="7" borderId="7" xfId="0" applyFont="1" applyFill="1" applyBorder="1" applyAlignment="1">
      <alignment horizontal="center" vertical="center"/>
    </xf>
    <xf numFmtId="0" fontId="3" fillId="7" borderId="9" xfId="0" applyFont="1" applyFill="1" applyBorder="1" applyAlignment="1">
      <alignment horizontal="center" vertical="center"/>
    </xf>
    <xf numFmtId="0" fontId="3" fillId="2" borderId="5" xfId="0" applyFont="1" applyFill="1" applyBorder="1"/>
    <xf numFmtId="0" fontId="5" fillId="0" borderId="11" xfId="0" applyFont="1" applyBorder="1" applyAlignment="1">
      <alignment horizontal="center" vertical="center"/>
    </xf>
    <xf numFmtId="0" fontId="5" fillId="0" borderId="12" xfId="0" applyFont="1" applyBorder="1" applyAlignment="1">
      <alignment horizontal="right" vertical="center"/>
    </xf>
    <xf numFmtId="0" fontId="5" fillId="4" borderId="18" xfId="0" applyFont="1" applyFill="1" applyBorder="1" applyAlignment="1">
      <alignment horizontal="left"/>
    </xf>
    <xf numFmtId="0" fontId="5" fillId="4" borderId="18" xfId="0" applyFont="1" applyFill="1" applyBorder="1" applyAlignment="1">
      <alignment horizontal="right"/>
    </xf>
    <xf numFmtId="0" fontId="5" fillId="0" borderId="18" xfId="0" applyFont="1" applyBorder="1" applyAlignment="1">
      <alignment horizontal="left"/>
    </xf>
    <xf numFmtId="0" fontId="5" fillId="4" borderId="11" xfId="0" applyFont="1" applyFill="1" applyBorder="1" applyAlignment="1">
      <alignment horizontal="center" vertical="center"/>
    </xf>
    <xf numFmtId="167" fontId="5" fillId="4" borderId="12" xfId="0" applyNumberFormat="1" applyFont="1" applyFill="1" applyBorder="1" applyAlignment="1">
      <alignment horizontal="center" vertical="center"/>
    </xf>
    <xf numFmtId="0" fontId="5" fillId="4" borderId="15" xfId="0" applyFont="1" applyFill="1" applyBorder="1" applyAlignment="1">
      <alignment horizontal="center" vertical="center"/>
    </xf>
    <xf numFmtId="167" fontId="5" fillId="4" borderId="14" xfId="0" applyNumberFormat="1" applyFont="1" applyFill="1" applyBorder="1" applyAlignment="1">
      <alignment horizontal="center" vertical="center"/>
    </xf>
    <xf numFmtId="0" fontId="5" fillId="4" borderId="10" xfId="0" applyFont="1" applyFill="1" applyBorder="1" applyAlignment="1">
      <alignment horizontal="left"/>
    </xf>
    <xf numFmtId="0" fontId="5" fillId="4" borderId="10" xfId="0" applyFont="1" applyFill="1" applyBorder="1" applyAlignment="1">
      <alignment horizontal="right"/>
    </xf>
    <xf numFmtId="176" fontId="5" fillId="4" borderId="10" xfId="0" applyNumberFormat="1" applyFont="1" applyFill="1" applyBorder="1" applyAlignment="1">
      <alignment horizontal="right"/>
    </xf>
    <xf numFmtId="0" fontId="5" fillId="0" borderId="10" xfId="0" applyFont="1" applyBorder="1" applyAlignment="1">
      <alignment horizontal="left"/>
    </xf>
    <xf numFmtId="172" fontId="5" fillId="4" borderId="10" xfId="0" applyNumberFormat="1" applyFont="1" applyFill="1" applyBorder="1" applyAlignment="1">
      <alignment horizontal="right"/>
    </xf>
    <xf numFmtId="177" fontId="5" fillId="4" borderId="10" xfId="0" applyNumberFormat="1" applyFont="1" applyFill="1" applyBorder="1" applyAlignment="1">
      <alignment horizontal="right"/>
    </xf>
    <xf numFmtId="2" fontId="5" fillId="4" borderId="10" xfId="0" applyNumberFormat="1" applyFont="1" applyFill="1" applyBorder="1" applyAlignment="1">
      <alignment horizontal="right"/>
    </xf>
    <xf numFmtId="3" fontId="5" fillId="4" borderId="10" xfId="0" applyNumberFormat="1" applyFont="1" applyFill="1" applyBorder="1" applyAlignment="1">
      <alignment horizontal="right"/>
    </xf>
    <xf numFmtId="0" fontId="5" fillId="4" borderId="0" xfId="0" applyFont="1" applyFill="1"/>
    <xf numFmtId="0" fontId="5" fillId="4" borderId="0" xfId="0" applyFont="1" applyFill="1" applyAlignment="1">
      <alignment horizontal="right"/>
    </xf>
    <xf numFmtId="0" fontId="5" fillId="0" borderId="0" xfId="0" applyFont="1"/>
    <xf numFmtId="0" fontId="3" fillId="2" borderId="4" xfId="0" applyFont="1" applyFill="1" applyBorder="1"/>
    <xf numFmtId="0" fontId="5" fillId="4" borderId="18" xfId="0" applyFont="1" applyFill="1" applyBorder="1"/>
    <xf numFmtId="0" fontId="5" fillId="0" borderId="18" xfId="0" applyFont="1" applyBorder="1"/>
    <xf numFmtId="3" fontId="5" fillId="4" borderId="18" xfId="0" applyNumberFormat="1" applyFont="1" applyFill="1" applyBorder="1" applyAlignment="1">
      <alignment horizontal="right"/>
    </xf>
    <xf numFmtId="0" fontId="3" fillId="2" borderId="1" xfId="0" applyFont="1" applyFill="1" applyBorder="1"/>
    <xf numFmtId="0" fontId="3" fillId="2" borderId="2" xfId="0" applyFont="1" applyFill="1" applyBorder="1"/>
    <xf numFmtId="0" fontId="3" fillId="2" borderId="8" xfId="0" applyFont="1" applyFill="1" applyBorder="1"/>
    <xf numFmtId="0" fontId="5" fillId="0" borderId="0" xfId="0" applyFont="1" applyAlignment="1">
      <alignment horizontal="right"/>
    </xf>
    <xf numFmtId="0" fontId="3" fillId="7" borderId="16" xfId="0" applyFont="1" applyFill="1" applyBorder="1"/>
    <xf numFmtId="0" fontId="5" fillId="7" borderId="50" xfId="0" applyFont="1" applyFill="1" applyBorder="1" applyAlignment="1">
      <alignment horizontal="right"/>
    </xf>
    <xf numFmtId="0" fontId="6" fillId="0" borderId="7" xfId="4" applyBorder="1"/>
    <xf numFmtId="0" fontId="6" fillId="0" borderId="9" xfId="4" applyBorder="1"/>
    <xf numFmtId="0" fontId="6" fillId="0" borderId="11" xfId="4" applyBorder="1"/>
    <xf numFmtId="0" fontId="6" fillId="0" borderId="12" xfId="4" applyBorder="1"/>
    <xf numFmtId="0" fontId="6" fillId="0" borderId="15" xfId="4" applyBorder="1"/>
    <xf numFmtId="0" fontId="6" fillId="0" borderId="14" xfId="4" applyBorder="1"/>
    <xf numFmtId="0" fontId="2" fillId="5" borderId="10" xfId="0" applyFont="1" applyFill="1" applyBorder="1"/>
    <xf numFmtId="3" fontId="0" fillId="8" borderId="10" xfId="0" applyNumberFormat="1" applyFill="1" applyBorder="1"/>
    <xf numFmtId="3" fontId="0" fillId="9" borderId="10" xfId="0" applyNumberFormat="1" applyFill="1" applyBorder="1"/>
    <xf numFmtId="0" fontId="13" fillId="0" borderId="52" xfId="6" applyAlignment="1">
      <alignment horizontal="center"/>
    </xf>
    <xf numFmtId="0" fontId="0" fillId="2" borderId="0" xfId="0" applyFill="1"/>
    <xf numFmtId="0" fontId="2" fillId="2" borderId="0" xfId="0" applyFont="1" applyFill="1"/>
    <xf numFmtId="0" fontId="5" fillId="0" borderId="0" xfId="0" applyFont="1" applyAlignment="1">
      <alignment vertical="center"/>
    </xf>
    <xf numFmtId="0" fontId="9" fillId="0" borderId="0" xfId="0" applyFont="1" applyAlignment="1">
      <alignment horizontal="left" vertical="center"/>
    </xf>
    <xf numFmtId="3" fontId="0" fillId="0" borderId="0" xfId="0" applyNumberFormat="1"/>
    <xf numFmtId="0" fontId="5" fillId="0" borderId="0" xfId="0" applyFont="1" applyAlignment="1">
      <alignment vertical="center" wrapText="1"/>
    </xf>
    <xf numFmtId="0" fontId="5" fillId="0" borderId="0" xfId="0" applyFont="1" applyAlignment="1">
      <alignment horizontal="left"/>
    </xf>
    <xf numFmtId="174" fontId="5" fillId="0" borderId="0" xfId="0" applyNumberFormat="1" applyFont="1"/>
    <xf numFmtId="0" fontId="0" fillId="0" borderId="41" xfId="0" applyBorder="1" applyAlignment="1">
      <alignment horizontal="left"/>
    </xf>
    <xf numFmtId="0" fontId="0" fillId="0" borderId="40" xfId="0" applyBorder="1" applyAlignment="1">
      <alignment horizontal="left"/>
    </xf>
    <xf numFmtId="0" fontId="0" fillId="0" borderId="42" xfId="0" applyBorder="1" applyAlignment="1">
      <alignment horizontal="left"/>
    </xf>
    <xf numFmtId="0" fontId="3" fillId="7" borderId="16" xfId="0" applyFont="1" applyFill="1" applyBorder="1" applyAlignment="1">
      <alignment horizontal="left"/>
    </xf>
    <xf numFmtId="0" fontId="3" fillId="7" borderId="49" xfId="0" applyFont="1" applyFill="1" applyBorder="1" applyAlignment="1">
      <alignment horizontal="left"/>
    </xf>
    <xf numFmtId="0" fontId="3" fillId="7" borderId="50" xfId="0" applyFont="1" applyFill="1" applyBorder="1" applyAlignment="1">
      <alignment horizontal="left"/>
    </xf>
    <xf numFmtId="0" fontId="0" fillId="0" borderId="46" xfId="0" applyBorder="1" applyAlignment="1">
      <alignment horizontal="left"/>
    </xf>
    <xf numFmtId="0" fontId="0" fillId="0" borderId="44" xfId="0" applyBorder="1" applyAlignment="1">
      <alignment horizontal="left"/>
    </xf>
    <xf numFmtId="0" fontId="0" fillId="0" borderId="47" xfId="0" applyBorder="1" applyAlignment="1">
      <alignment horizontal="left"/>
    </xf>
    <xf numFmtId="2" fontId="5" fillId="0" borderId="0" xfId="3" applyNumberFormat="1" applyFont="1" applyAlignment="1">
      <alignment horizontal="center" vertical="center" wrapText="1"/>
    </xf>
    <xf numFmtId="0" fontId="2" fillId="7" borderId="7" xfId="0" applyFont="1" applyFill="1" applyBorder="1" applyAlignment="1">
      <alignment horizontal="center" vertical="center"/>
    </xf>
    <xf numFmtId="0" fontId="2" fillId="7" borderId="9" xfId="0" applyFont="1" applyFill="1" applyBorder="1" applyAlignment="1">
      <alignment horizontal="center" vertical="center"/>
    </xf>
    <xf numFmtId="0" fontId="0" fillId="0" borderId="11" xfId="0" applyBorder="1"/>
    <xf numFmtId="168" fontId="0" fillId="0" borderId="12" xfId="0" applyNumberFormat="1" applyBorder="1"/>
    <xf numFmtId="0" fontId="0" fillId="0" borderId="15" xfId="0" applyBorder="1"/>
    <xf numFmtId="168" fontId="0" fillId="0" borderId="14" xfId="0" applyNumberFormat="1" applyBorder="1"/>
    <xf numFmtId="0" fontId="2" fillId="7" borderId="0" xfId="0" applyFont="1" applyFill="1" applyAlignment="1">
      <alignment vertical="center"/>
    </xf>
    <xf numFmtId="0" fontId="3" fillId="3" borderId="28" xfId="0" applyFont="1" applyFill="1" applyBorder="1" applyAlignment="1">
      <alignment horizontal="center" wrapText="1"/>
    </xf>
    <xf numFmtId="164" fontId="5" fillId="2" borderId="41" xfId="2" applyFont="1" applyFill="1" applyBorder="1"/>
    <xf numFmtId="167" fontId="5" fillId="2" borderId="41" xfId="1" applyNumberFormat="1" applyFont="1" applyFill="1" applyBorder="1"/>
    <xf numFmtId="0" fontId="5" fillId="0" borderId="41" xfId="0" applyFont="1" applyBorder="1"/>
    <xf numFmtId="167" fontId="5" fillId="2" borderId="41" xfId="2" applyNumberFormat="1" applyFont="1" applyFill="1" applyBorder="1"/>
    <xf numFmtId="164" fontId="5" fillId="2" borderId="41" xfId="2" applyFont="1" applyFill="1" applyBorder="1" applyAlignment="1">
      <alignment vertical="center"/>
    </xf>
    <xf numFmtId="164" fontId="5" fillId="2" borderId="46" xfId="2" applyFont="1" applyFill="1" applyBorder="1" applyAlignment="1">
      <alignment vertical="center"/>
    </xf>
    <xf numFmtId="164" fontId="5" fillId="2" borderId="41" xfId="1" applyNumberFormat="1" applyFont="1" applyFill="1" applyBorder="1"/>
    <xf numFmtId="164" fontId="5" fillId="2" borderId="38" xfId="2" applyFont="1" applyFill="1" applyBorder="1"/>
    <xf numFmtId="0" fontId="0" fillId="2" borderId="25" xfId="0" applyFill="1" applyBorder="1"/>
    <xf numFmtId="0" fontId="0" fillId="2" borderId="26" xfId="0" applyFill="1" applyBorder="1"/>
    <xf numFmtId="0" fontId="0" fillId="2" borderId="29" xfId="0" applyFill="1" applyBorder="1"/>
    <xf numFmtId="0" fontId="0" fillId="2" borderId="53" xfId="0" applyFill="1" applyBorder="1"/>
    <xf numFmtId="0" fontId="0" fillId="2" borderId="54" xfId="0" applyFill="1" applyBorder="1"/>
    <xf numFmtId="0" fontId="0" fillId="2" borderId="30" xfId="0" applyFill="1" applyBorder="1"/>
    <xf numFmtId="0" fontId="0" fillId="2" borderId="31" xfId="0" applyFill="1" applyBorder="1"/>
    <xf numFmtId="0" fontId="0" fillId="2" borderId="34" xfId="0" applyFill="1" applyBorder="1"/>
    <xf numFmtId="0" fontId="5" fillId="4" borderId="38" xfId="0" applyFont="1" applyFill="1" applyBorder="1"/>
    <xf numFmtId="0" fontId="5" fillId="4" borderId="41" xfId="0" applyFont="1" applyFill="1" applyBorder="1"/>
    <xf numFmtId="0" fontId="5" fillId="4" borderId="46" xfId="0" applyFont="1" applyFill="1" applyBorder="1"/>
    <xf numFmtId="0" fontId="5" fillId="4" borderId="37" xfId="0" applyFont="1" applyFill="1" applyBorder="1"/>
    <xf numFmtId="0" fontId="5" fillId="4" borderId="23" xfId="0" applyFont="1" applyFill="1" applyBorder="1"/>
    <xf numFmtId="0" fontId="5" fillId="4" borderId="23" xfId="0" applyFont="1" applyFill="1" applyBorder="1" applyAlignment="1">
      <alignment vertical="center"/>
    </xf>
    <xf numFmtId="0" fontId="0" fillId="4" borderId="23" xfId="0" applyFill="1" applyBorder="1" applyAlignment="1">
      <alignment vertical="center"/>
    </xf>
    <xf numFmtId="0" fontId="5" fillId="4" borderId="45" xfId="0" applyFont="1" applyFill="1" applyBorder="1"/>
    <xf numFmtId="0" fontId="0" fillId="0" borderId="10" xfId="0" applyBorder="1"/>
    <xf numFmtId="166" fontId="5" fillId="2" borderId="18" xfId="2" applyNumberFormat="1" applyFont="1" applyFill="1" applyBorder="1"/>
    <xf numFmtId="0" fontId="3" fillId="3" borderId="55" xfId="0" applyFont="1" applyFill="1" applyBorder="1" applyAlignment="1">
      <alignment horizontal="center" vertical="center" wrapText="1"/>
    </xf>
    <xf numFmtId="178" fontId="5" fillId="0" borderId="10" xfId="2" applyNumberFormat="1" applyFont="1" applyFill="1" applyBorder="1"/>
    <xf numFmtId="0" fontId="0" fillId="0" borderId="0" xfId="0" applyProtection="1">
      <protection locked="0"/>
    </xf>
    <xf numFmtId="0" fontId="0" fillId="2" borderId="0" xfId="0" applyFill="1" applyProtection="1">
      <protection locked="0"/>
    </xf>
    <xf numFmtId="0" fontId="5" fillId="0" borderId="0" xfId="8" applyFont="1"/>
    <xf numFmtId="0" fontId="5" fillId="2" borderId="0" xfId="8" applyFont="1" applyFill="1"/>
    <xf numFmtId="0" fontId="17" fillId="0" borderId="0" xfId="8"/>
    <xf numFmtId="0" fontId="17" fillId="2" borderId="0" xfId="8" applyFill="1"/>
    <xf numFmtId="179" fontId="0" fillId="2" borderId="0" xfId="0" applyNumberFormat="1" applyFill="1"/>
    <xf numFmtId="0" fontId="0" fillId="4" borderId="0" xfId="0" applyFill="1"/>
    <xf numFmtId="0" fontId="18" fillId="4" borderId="0" xfId="0" applyFont="1" applyFill="1"/>
    <xf numFmtId="3" fontId="0" fillId="2" borderId="0" xfId="0" applyNumberFormat="1" applyFill="1"/>
    <xf numFmtId="0" fontId="0" fillId="2" borderId="0" xfId="0" applyFill="1" applyAlignment="1">
      <alignment horizontal="center"/>
    </xf>
    <xf numFmtId="0" fontId="2" fillId="5" borderId="41" xfId="0" applyFont="1" applyFill="1" applyBorder="1" applyAlignment="1">
      <alignment horizontal="center"/>
    </xf>
    <xf numFmtId="0" fontId="2" fillId="5" borderId="23" xfId="0" applyFont="1" applyFill="1" applyBorder="1" applyAlignment="1">
      <alignment horizontal="center"/>
    </xf>
    <xf numFmtId="0" fontId="15" fillId="2" borderId="0" xfId="0" applyFont="1" applyFill="1" applyAlignment="1">
      <alignment wrapText="1" readingOrder="1"/>
    </xf>
    <xf numFmtId="0" fontId="15" fillId="2" borderId="0" xfId="0" applyFont="1" applyFill="1" applyAlignment="1">
      <alignment horizontal="left" vertical="center" wrapText="1"/>
    </xf>
    <xf numFmtId="0" fontId="2" fillId="5" borderId="10" xfId="0" applyFont="1" applyFill="1" applyBorder="1" applyAlignment="1">
      <alignment horizontal="center"/>
    </xf>
    <xf numFmtId="0" fontId="0" fillId="0" borderId="0" xfId="0" applyAlignment="1">
      <alignment horizontal="center"/>
    </xf>
    <xf numFmtId="0" fontId="2" fillId="7" borderId="10" xfId="0" applyFont="1" applyFill="1" applyBorder="1" applyAlignment="1">
      <alignment horizontal="center"/>
    </xf>
    <xf numFmtId="0" fontId="21" fillId="2" borderId="20" xfId="0" applyFont="1" applyFill="1" applyBorder="1"/>
    <xf numFmtId="0" fontId="21" fillId="2" borderId="56" xfId="0" applyFont="1" applyFill="1" applyBorder="1"/>
    <xf numFmtId="179" fontId="21" fillId="2" borderId="58" xfId="1" applyNumberFormat="1" applyFont="1" applyFill="1" applyBorder="1"/>
    <xf numFmtId="0" fontId="21" fillId="2" borderId="22" xfId="0" applyFont="1" applyFill="1" applyBorder="1"/>
    <xf numFmtId="0" fontId="21" fillId="2" borderId="23" xfId="0" applyFont="1" applyFill="1" applyBorder="1"/>
    <xf numFmtId="179" fontId="21" fillId="2" borderId="42" xfId="1" applyNumberFormat="1" applyFont="1" applyFill="1" applyBorder="1"/>
    <xf numFmtId="0" fontId="21" fillId="2" borderId="43" xfId="0" applyFont="1" applyFill="1" applyBorder="1"/>
    <xf numFmtId="0" fontId="21" fillId="2" borderId="45" xfId="0" applyFont="1" applyFill="1" applyBorder="1"/>
    <xf numFmtId="179" fontId="21" fillId="2" borderId="47" xfId="1" applyNumberFormat="1" applyFont="1" applyFill="1" applyBorder="1"/>
    <xf numFmtId="0" fontId="23" fillId="2" borderId="0" xfId="0" applyFont="1" applyFill="1"/>
    <xf numFmtId="0" fontId="21" fillId="4" borderId="0" xfId="0" applyFont="1" applyFill="1"/>
    <xf numFmtId="0" fontId="23" fillId="4" borderId="0" xfId="0" applyFont="1" applyFill="1"/>
    <xf numFmtId="0" fontId="25" fillId="2" borderId="22" xfId="0" applyFont="1" applyFill="1" applyBorder="1"/>
    <xf numFmtId="0" fontId="24" fillId="3" borderId="50" xfId="0" applyFont="1" applyFill="1" applyBorder="1" applyAlignment="1">
      <alignment horizontal="center" wrapText="1"/>
    </xf>
    <xf numFmtId="0" fontId="3" fillId="2" borderId="0" xfId="0" applyFont="1" applyFill="1" applyAlignment="1">
      <alignment horizontal="center" wrapText="1"/>
    </xf>
    <xf numFmtId="0" fontId="2" fillId="2" borderId="53" xfId="0" applyFont="1" applyFill="1" applyBorder="1" applyAlignment="1">
      <alignment horizontal="center"/>
    </xf>
    <xf numFmtId="0" fontId="2" fillId="2" borderId="0" xfId="0" applyFont="1" applyFill="1" applyAlignment="1">
      <alignment horizontal="center"/>
    </xf>
    <xf numFmtId="0" fontId="2" fillId="2" borderId="54" xfId="0" applyFont="1" applyFill="1" applyBorder="1" applyAlignment="1">
      <alignment horizontal="center"/>
    </xf>
    <xf numFmtId="0" fontId="2" fillId="0" borderId="0" xfId="0" applyFont="1" applyAlignment="1">
      <alignment horizontal="center"/>
    </xf>
    <xf numFmtId="0" fontId="5" fillId="2" borderId="0" xfId="8" applyFont="1" applyFill="1" applyAlignment="1">
      <alignment horizontal="center"/>
    </xf>
    <xf numFmtId="0" fontId="5" fillId="0" borderId="0" xfId="8" applyFont="1" applyAlignment="1">
      <alignment horizontal="center"/>
    </xf>
    <xf numFmtId="0" fontId="22" fillId="4" borderId="0" xfId="8" applyFont="1" applyFill="1"/>
    <xf numFmtId="0" fontId="20" fillId="2" borderId="5" xfId="8" applyFont="1" applyFill="1" applyBorder="1" applyAlignment="1">
      <alignment horizontal="center"/>
    </xf>
    <xf numFmtId="0" fontId="22" fillId="4" borderId="18" xfId="8" applyFont="1" applyFill="1" applyBorder="1" applyAlignment="1">
      <alignment horizontal="left"/>
    </xf>
    <xf numFmtId="0" fontId="22" fillId="4" borderId="18" xfId="8" applyFont="1" applyFill="1" applyBorder="1" applyAlignment="1">
      <alignment horizontal="right"/>
    </xf>
    <xf numFmtId="0" fontId="22" fillId="0" borderId="18" xfId="8" applyFont="1" applyBorder="1" applyAlignment="1">
      <alignment horizontal="left"/>
    </xf>
    <xf numFmtId="0" fontId="22" fillId="4" borderId="10" xfId="8" applyFont="1" applyFill="1" applyBorder="1" applyAlignment="1">
      <alignment horizontal="left"/>
    </xf>
    <xf numFmtId="0" fontId="22" fillId="4" borderId="10" xfId="8" applyFont="1" applyFill="1" applyBorder="1" applyAlignment="1">
      <alignment horizontal="right"/>
    </xf>
    <xf numFmtId="176" fontId="22" fillId="4" borderId="10" xfId="8" applyNumberFormat="1" applyFont="1" applyFill="1" applyBorder="1" applyAlignment="1">
      <alignment horizontal="right"/>
    </xf>
    <xf numFmtId="172" fontId="22" fillId="4" borderId="10" xfId="8" applyNumberFormat="1" applyFont="1" applyFill="1" applyBorder="1" applyAlignment="1">
      <alignment horizontal="right"/>
    </xf>
    <xf numFmtId="177" fontId="22" fillId="4" borderId="10" xfId="8" applyNumberFormat="1" applyFont="1" applyFill="1" applyBorder="1" applyAlignment="1">
      <alignment horizontal="right"/>
    </xf>
    <xf numFmtId="2" fontId="22" fillId="4" borderId="10" xfId="8" applyNumberFormat="1" applyFont="1" applyFill="1" applyBorder="1" applyAlignment="1">
      <alignment horizontal="right"/>
    </xf>
    <xf numFmtId="3" fontId="22" fillId="4" borderId="10" xfId="8" applyNumberFormat="1" applyFont="1" applyFill="1" applyBorder="1" applyAlignment="1">
      <alignment horizontal="right"/>
    </xf>
    <xf numFmtId="0" fontId="22" fillId="4" borderId="0" xfId="8" applyFont="1" applyFill="1" applyAlignment="1">
      <alignment horizontal="right"/>
    </xf>
    <xf numFmtId="0" fontId="22" fillId="0" borderId="0" xfId="8" applyFont="1"/>
    <xf numFmtId="0" fontId="22" fillId="0" borderId="10" xfId="8" applyFont="1" applyBorder="1"/>
    <xf numFmtId="0" fontId="22" fillId="2" borderId="0" xfId="8" applyFont="1" applyFill="1"/>
    <xf numFmtId="0" fontId="20" fillId="2" borderId="4" xfId="8" applyFont="1" applyFill="1" applyBorder="1" applyAlignment="1">
      <alignment horizontal="center"/>
    </xf>
    <xf numFmtId="0" fontId="20" fillId="2" borderId="6" xfId="8" applyFont="1" applyFill="1" applyBorder="1" applyAlignment="1">
      <alignment horizontal="center"/>
    </xf>
    <xf numFmtId="0" fontId="22" fillId="4" borderId="7" xfId="8" applyFont="1" applyFill="1" applyBorder="1" applyAlignment="1">
      <alignment horizontal="left"/>
    </xf>
    <xf numFmtId="0" fontId="22" fillId="4" borderId="8" xfId="8" applyFont="1" applyFill="1" applyBorder="1" applyAlignment="1">
      <alignment horizontal="left"/>
    </xf>
    <xf numFmtId="0" fontId="22" fillId="4" borderId="8" xfId="8" applyFont="1" applyFill="1" applyBorder="1" applyAlignment="1">
      <alignment horizontal="right"/>
    </xf>
    <xf numFmtId="0" fontId="22" fillId="0" borderId="9" xfId="8" applyFont="1" applyBorder="1" applyAlignment="1">
      <alignment horizontal="left"/>
    </xf>
    <xf numFmtId="0" fontId="22" fillId="4" borderId="48" xfId="8" applyFont="1" applyFill="1" applyBorder="1" applyAlignment="1">
      <alignment horizontal="left"/>
    </xf>
    <xf numFmtId="0" fontId="22" fillId="0" borderId="21" xfId="8" applyFont="1" applyBorder="1" applyAlignment="1">
      <alignment horizontal="left"/>
    </xf>
    <xf numFmtId="0" fontId="22" fillId="4" borderId="11" xfId="8" applyFont="1" applyFill="1" applyBorder="1" applyAlignment="1">
      <alignment horizontal="left"/>
    </xf>
    <xf numFmtId="0" fontId="22" fillId="0" borderId="12" xfId="8" applyFont="1" applyBorder="1" applyAlignment="1">
      <alignment horizontal="left"/>
    </xf>
    <xf numFmtId="0" fontId="22" fillId="0" borderId="48" xfId="8" applyFont="1" applyBorder="1" applyAlignment="1">
      <alignment horizontal="left"/>
    </xf>
    <xf numFmtId="0" fontId="22" fillId="4" borderId="15" xfId="8" applyFont="1" applyFill="1" applyBorder="1" applyAlignment="1">
      <alignment horizontal="left"/>
    </xf>
    <xf numFmtId="0" fontId="22" fillId="4" borderId="24" xfId="8" applyFont="1" applyFill="1" applyBorder="1" applyAlignment="1">
      <alignment horizontal="left"/>
    </xf>
    <xf numFmtId="3" fontId="22" fillId="4" borderId="13" xfId="8" applyNumberFormat="1" applyFont="1" applyFill="1" applyBorder="1" applyAlignment="1">
      <alignment horizontal="right"/>
    </xf>
    <xf numFmtId="0" fontId="22" fillId="0" borderId="59" xfId="8" applyFont="1" applyBorder="1" applyAlignment="1">
      <alignment horizontal="left"/>
    </xf>
    <xf numFmtId="0" fontId="22" fillId="4" borderId="7" xfId="8" applyFont="1" applyFill="1" applyBorder="1"/>
    <xf numFmtId="0" fontId="22" fillId="0" borderId="8" xfId="8" applyFont="1" applyBorder="1"/>
    <xf numFmtId="0" fontId="22" fillId="0" borderId="9" xfId="8" applyFont="1" applyBorder="1"/>
    <xf numFmtId="0" fontId="22" fillId="4" borderId="11" xfId="8" applyFont="1" applyFill="1" applyBorder="1"/>
    <xf numFmtId="0" fontId="22" fillId="0" borderId="12" xfId="8" applyFont="1" applyBorder="1"/>
    <xf numFmtId="0" fontId="22" fillId="0" borderId="11" xfId="8" applyFont="1" applyBorder="1"/>
    <xf numFmtId="0" fontId="22" fillId="0" borderId="15" xfId="8" applyFont="1" applyBorder="1"/>
    <xf numFmtId="0" fontId="22" fillId="0" borderId="13" xfId="8" applyFont="1" applyBorder="1"/>
    <xf numFmtId="0" fontId="22" fillId="0" borderId="14" xfId="8" applyFont="1" applyBorder="1"/>
    <xf numFmtId="3" fontId="22" fillId="4" borderId="8" xfId="8" applyNumberFormat="1" applyFont="1" applyFill="1" applyBorder="1" applyAlignment="1">
      <alignment horizontal="right"/>
    </xf>
    <xf numFmtId="0" fontId="22" fillId="4" borderId="9" xfId="8" applyFont="1" applyFill="1" applyBorder="1" applyAlignment="1">
      <alignment horizontal="left"/>
    </xf>
    <xf numFmtId="0" fontId="22" fillId="4" borderId="48" xfId="8" applyFont="1" applyFill="1" applyBorder="1"/>
    <xf numFmtId="0" fontId="22" fillId="4" borderId="12" xfId="8" applyFont="1" applyFill="1" applyBorder="1" applyAlignment="1">
      <alignment horizontal="left"/>
    </xf>
    <xf numFmtId="0" fontId="22" fillId="4" borderId="15" xfId="8" applyFont="1" applyFill="1" applyBorder="1"/>
    <xf numFmtId="0" fontId="22" fillId="4" borderId="13" xfId="8" applyFont="1" applyFill="1" applyBorder="1" applyAlignment="1">
      <alignment horizontal="right"/>
    </xf>
    <xf numFmtId="0" fontId="22" fillId="4" borderId="14" xfId="8" applyFont="1" applyFill="1" applyBorder="1" applyAlignment="1">
      <alignment horizontal="left"/>
    </xf>
    <xf numFmtId="0" fontId="22" fillId="4" borderId="13" xfId="8" applyFont="1" applyFill="1" applyBorder="1" applyAlignment="1">
      <alignment horizontal="left"/>
    </xf>
    <xf numFmtId="3" fontId="22" fillId="4" borderId="9" xfId="8" applyNumberFormat="1" applyFont="1" applyFill="1" applyBorder="1" applyAlignment="1">
      <alignment horizontal="right"/>
    </xf>
    <xf numFmtId="3" fontId="22" fillId="4" borderId="12" xfId="8" applyNumberFormat="1" applyFont="1" applyFill="1" applyBorder="1" applyAlignment="1">
      <alignment horizontal="right"/>
    </xf>
    <xf numFmtId="0" fontId="22" fillId="4" borderId="12" xfId="8" applyFont="1" applyFill="1" applyBorder="1"/>
    <xf numFmtId="0" fontId="22" fillId="4" borderId="14" xfId="8" applyFont="1" applyFill="1" applyBorder="1"/>
    <xf numFmtId="0" fontId="0" fillId="14" borderId="10" xfId="0" applyFill="1" applyBorder="1"/>
    <xf numFmtId="0" fontId="0" fillId="15" borderId="10" xfId="0" applyFill="1" applyBorder="1"/>
    <xf numFmtId="0" fontId="0" fillId="12" borderId="10" xfId="0" applyFill="1" applyBorder="1"/>
    <xf numFmtId="0" fontId="0" fillId="14" borderId="41" xfId="0" applyFill="1" applyBorder="1"/>
    <xf numFmtId="0" fontId="0" fillId="14" borderId="23" xfId="0" applyFill="1" applyBorder="1"/>
    <xf numFmtId="0" fontId="0" fillId="15" borderId="41" xfId="0" applyFill="1" applyBorder="1"/>
    <xf numFmtId="0" fontId="0" fillId="15" borderId="23" xfId="0" applyFill="1" applyBorder="1"/>
    <xf numFmtId="0" fontId="0" fillId="16" borderId="4" xfId="0" applyFill="1" applyBorder="1"/>
    <xf numFmtId="0" fontId="0" fillId="16" borderId="6" xfId="0" applyFill="1" applyBorder="1"/>
    <xf numFmtId="0" fontId="0" fillId="13" borderId="10" xfId="0" applyFill="1" applyBorder="1"/>
    <xf numFmtId="0" fontId="0" fillId="9" borderId="10" xfId="0" applyFill="1" applyBorder="1"/>
    <xf numFmtId="0" fontId="0" fillId="8" borderId="10" xfId="0" applyFill="1" applyBorder="1"/>
    <xf numFmtId="0" fontId="2" fillId="5" borderId="19" xfId="0" applyFont="1" applyFill="1" applyBorder="1" applyAlignment="1">
      <alignment horizontal="center"/>
    </xf>
    <xf numFmtId="0" fontId="0" fillId="12" borderId="10" xfId="0" applyFill="1" applyBorder="1" applyAlignment="1">
      <alignment horizontal="center"/>
    </xf>
    <xf numFmtId="0" fontId="2" fillId="5" borderId="63" xfId="0" applyFont="1" applyFill="1" applyBorder="1"/>
    <xf numFmtId="0" fontId="2" fillId="5" borderId="62" xfId="0" applyFont="1" applyFill="1" applyBorder="1"/>
    <xf numFmtId="0" fontId="0" fillId="0" borderId="54" xfId="0" applyBorder="1"/>
    <xf numFmtId="0" fontId="2" fillId="0" borderId="54" xfId="0" applyFont="1" applyBorder="1" applyAlignment="1">
      <alignment horizontal="center"/>
    </xf>
    <xf numFmtId="49" fontId="2" fillId="7" borderId="10" xfId="0" applyNumberFormat="1" applyFont="1" applyFill="1" applyBorder="1" applyAlignment="1">
      <alignment horizontal="center"/>
    </xf>
    <xf numFmtId="2" fontId="5" fillId="4" borderId="0" xfId="3" applyNumberFormat="1" applyFont="1" applyFill="1" applyAlignment="1">
      <alignment vertical="center"/>
    </xf>
    <xf numFmtId="2" fontId="3" fillId="5" borderId="4" xfId="3" applyNumberFormat="1" applyFont="1" applyFill="1" applyBorder="1" applyAlignment="1">
      <alignment horizontal="center" vertical="center" wrapText="1"/>
    </xf>
    <xf numFmtId="2" fontId="3" fillId="5" borderId="5" xfId="3" applyNumberFormat="1" applyFont="1" applyFill="1" applyBorder="1" applyAlignment="1">
      <alignment horizontal="center" vertical="center" wrapText="1"/>
    </xf>
    <xf numFmtId="174" fontId="5" fillId="0" borderId="7" xfId="0" applyNumberFormat="1" applyFont="1" applyBorder="1"/>
    <xf numFmtId="174" fontId="5" fillId="0" borderId="11" xfId="0" applyNumberFormat="1" applyFont="1" applyBorder="1"/>
    <xf numFmtId="0" fontId="5" fillId="0" borderId="10" xfId="0" applyFont="1" applyBorder="1" applyAlignment="1">
      <alignment horizontal="right"/>
    </xf>
    <xf numFmtId="2" fontId="5" fillId="0" borderId="10" xfId="0" applyNumberFormat="1" applyFont="1" applyBorder="1" applyAlignment="1">
      <alignment horizontal="right"/>
    </xf>
    <xf numFmtId="169" fontId="1" fillId="0" borderId="10" xfId="1" applyNumberFormat="1" applyFill="1" applyBorder="1" applyAlignment="1">
      <alignment horizontal="right"/>
    </xf>
    <xf numFmtId="174" fontId="5" fillId="0" borderId="15" xfId="0" applyNumberFormat="1" applyFont="1" applyBorder="1"/>
    <xf numFmtId="0" fontId="5" fillId="0" borderId="13" xfId="0" applyFont="1" applyBorder="1" applyAlignment="1">
      <alignment horizontal="right"/>
    </xf>
    <xf numFmtId="2" fontId="3" fillId="5" borderId="51" xfId="3" applyNumberFormat="1" applyFont="1" applyFill="1" applyBorder="1" applyAlignment="1">
      <alignment horizontal="center" vertical="center" wrapText="1"/>
    </xf>
    <xf numFmtId="0" fontId="5" fillId="0" borderId="38" xfId="0" applyFont="1" applyBorder="1" applyAlignment="1">
      <alignment horizontal="right"/>
    </xf>
    <xf numFmtId="0" fontId="5" fillId="0" borderId="41" xfId="0" applyFont="1" applyBorder="1" applyAlignment="1">
      <alignment horizontal="right"/>
    </xf>
    <xf numFmtId="43" fontId="1" fillId="0" borderId="0" xfId="1" applyFill="1" applyBorder="1" applyAlignment="1">
      <alignment horizontal="right"/>
    </xf>
    <xf numFmtId="2" fontId="3" fillId="0" borderId="0" xfId="3" applyNumberFormat="1" applyFont="1" applyAlignment="1">
      <alignment horizontal="center" vertical="center" wrapText="1"/>
    </xf>
    <xf numFmtId="0" fontId="3" fillId="0" borderId="0" xfId="0" applyFont="1"/>
    <xf numFmtId="179" fontId="5" fillId="0" borderId="0" xfId="1" applyNumberFormat="1" applyFont="1" applyFill="1" applyBorder="1"/>
    <xf numFmtId="179" fontId="0" fillId="0" borderId="0" xfId="0" applyNumberFormat="1"/>
    <xf numFmtId="180" fontId="0" fillId="0" borderId="0" xfId="0" applyNumberFormat="1"/>
    <xf numFmtId="169" fontId="0" fillId="0" borderId="0" xfId="0" applyNumberFormat="1"/>
    <xf numFmtId="0" fontId="0" fillId="16" borderId="51" xfId="0" applyFill="1" applyBorder="1"/>
    <xf numFmtId="178" fontId="0" fillId="0" borderId="0" xfId="0" applyNumberFormat="1"/>
    <xf numFmtId="0" fontId="28" fillId="0" borderId="0" xfId="0" applyFont="1" applyAlignment="1">
      <alignment vertical="center"/>
    </xf>
    <xf numFmtId="0" fontId="28" fillId="0" borderId="0" xfId="0" applyFont="1"/>
    <xf numFmtId="0" fontId="31" fillId="17" borderId="65" xfId="0" applyFont="1" applyFill="1" applyBorder="1" applyAlignment="1">
      <alignment horizontal="center" wrapText="1"/>
    </xf>
    <xf numFmtId="0" fontId="0" fillId="0" borderId="53" xfId="0" applyBorder="1"/>
    <xf numFmtId="11" fontId="0" fillId="0" borderId="0" xfId="0" applyNumberFormat="1"/>
    <xf numFmtId="11" fontId="0" fillId="0" borderId="54" xfId="0" applyNumberFormat="1" applyBorder="1"/>
    <xf numFmtId="0" fontId="0" fillId="0" borderId="30" xfId="0" applyBorder="1"/>
    <xf numFmtId="11" fontId="0" fillId="0" borderId="31" xfId="0" applyNumberFormat="1" applyBorder="1"/>
    <xf numFmtId="11" fontId="0" fillId="0" borderId="34" xfId="0" applyNumberFormat="1" applyBorder="1"/>
    <xf numFmtId="2" fontId="0" fillId="2" borderId="0" xfId="0" applyNumberFormat="1" applyFill="1"/>
    <xf numFmtId="2" fontId="0" fillId="2" borderId="0" xfId="0" applyNumberFormat="1" applyFill="1" applyAlignment="1">
      <alignment horizontal="center"/>
    </xf>
    <xf numFmtId="2" fontId="0" fillId="5" borderId="23" xfId="0" applyNumberFormat="1" applyFill="1" applyBorder="1"/>
    <xf numFmtId="2" fontId="0" fillId="5" borderId="62" xfId="0" applyNumberFormat="1" applyFill="1" applyBorder="1"/>
    <xf numFmtId="2" fontId="0" fillId="7" borderId="55" xfId="0" applyNumberFormat="1" applyFill="1" applyBorder="1"/>
    <xf numFmtId="2" fontId="0" fillId="0" borderId="0" xfId="0" applyNumberFormat="1"/>
    <xf numFmtId="0" fontId="30" fillId="0" borderId="25" xfId="9" applyBorder="1"/>
    <xf numFmtId="11" fontId="30" fillId="0" borderId="26" xfId="0" applyNumberFormat="1" applyFont="1" applyBorder="1"/>
    <xf numFmtId="11" fontId="30" fillId="0" borderId="29" xfId="0" applyNumberFormat="1" applyFont="1" applyBorder="1"/>
    <xf numFmtId="0" fontId="30" fillId="0" borderId="53" xfId="9" applyBorder="1"/>
    <xf numFmtId="11" fontId="30" fillId="0" borderId="0" xfId="0" applyNumberFormat="1" applyFont="1"/>
    <xf numFmtId="11" fontId="30" fillId="0" borderId="54" xfId="0" applyNumberFormat="1" applyFont="1" applyBorder="1"/>
    <xf numFmtId="1" fontId="0" fillId="2" borderId="10" xfId="0" applyNumberFormat="1" applyFill="1" applyBorder="1"/>
    <xf numFmtId="0" fontId="30" fillId="0" borderId="0" xfId="9"/>
    <xf numFmtId="1" fontId="0" fillId="2" borderId="19" xfId="0" applyNumberFormat="1" applyFill="1" applyBorder="1"/>
    <xf numFmtId="0" fontId="15" fillId="2" borderId="0" xfId="0" quotePrefix="1" applyFont="1" applyFill="1" applyAlignment="1">
      <alignment horizontal="left" vertical="center"/>
    </xf>
    <xf numFmtId="0" fontId="35" fillId="2" borderId="0" xfId="0" applyFont="1" applyFill="1" applyAlignment="1">
      <alignment vertical="top" wrapText="1"/>
    </xf>
    <xf numFmtId="0" fontId="0" fillId="0" borderId="0" xfId="0" applyAlignment="1">
      <alignment wrapText="1"/>
    </xf>
    <xf numFmtId="0" fontId="12" fillId="0" borderId="0" xfId="5" applyAlignment="1">
      <alignment horizontal="center"/>
    </xf>
    <xf numFmtId="0" fontId="0" fillId="0" borderId="0" xfId="0" applyAlignment="1">
      <alignment horizontal="left" wrapText="1"/>
    </xf>
    <xf numFmtId="0" fontId="0" fillId="5" borderId="41" xfId="0" applyFill="1" applyBorder="1"/>
    <xf numFmtId="0" fontId="0" fillId="5" borderId="10" xfId="0" applyFill="1" applyBorder="1"/>
    <xf numFmtId="0" fontId="12" fillId="0" borderId="0" xfId="5" applyAlignment="1"/>
    <xf numFmtId="0" fontId="12" fillId="2" borderId="0" xfId="5" applyFill="1" applyAlignment="1"/>
    <xf numFmtId="0" fontId="0" fillId="2" borderId="60" xfId="0" applyFill="1" applyBorder="1"/>
    <xf numFmtId="0" fontId="0" fillId="9" borderId="18" xfId="0" applyFill="1" applyBorder="1"/>
    <xf numFmtId="0" fontId="2" fillId="0" borderId="61" xfId="0" applyFont="1" applyBorder="1"/>
    <xf numFmtId="0" fontId="0" fillId="2" borderId="0" xfId="0" applyFill="1" applyAlignment="1">
      <alignment wrapText="1"/>
    </xf>
    <xf numFmtId="0" fontId="0" fillId="2" borderId="0" xfId="0" applyFill="1" applyAlignment="1">
      <alignment horizontal="left" wrapText="1"/>
    </xf>
    <xf numFmtId="0" fontId="0" fillId="0" borderId="41" xfId="0" applyBorder="1"/>
    <xf numFmtId="0" fontId="28" fillId="0" borderId="10" xfId="0" applyFont="1" applyBorder="1" applyAlignment="1">
      <alignment vertical="center"/>
    </xf>
    <xf numFmtId="0" fontId="28" fillId="0" borderId="10" xfId="0" applyFont="1" applyBorder="1"/>
    <xf numFmtId="0" fontId="28" fillId="5" borderId="10" xfId="0" applyFont="1" applyFill="1" applyBorder="1" applyAlignment="1">
      <alignment vertical="center"/>
    </xf>
    <xf numFmtId="0" fontId="0" fillId="0" borderId="0" xfId="0" applyAlignment="1">
      <alignment vertical="center"/>
    </xf>
    <xf numFmtId="0" fontId="0" fillId="5" borderId="72" xfId="0" applyFill="1" applyBorder="1"/>
    <xf numFmtId="0" fontId="0" fillId="9" borderId="19" xfId="0" applyFill="1" applyBorder="1"/>
    <xf numFmtId="0" fontId="16" fillId="2" borderId="0" xfId="7" applyFill="1" applyBorder="1" applyAlignment="1">
      <alignment horizontal="center" vertical="center" wrapText="1"/>
    </xf>
    <xf numFmtId="0" fontId="14" fillId="2" borderId="0" xfId="0" applyFont="1" applyFill="1" applyAlignment="1">
      <alignment horizontal="center" vertical="center" wrapText="1"/>
    </xf>
    <xf numFmtId="0" fontId="0" fillId="2" borderId="0" xfId="0" applyFill="1" applyAlignment="1">
      <alignment horizontal="center" vertical="center"/>
    </xf>
    <xf numFmtId="0" fontId="16" fillId="2" borderId="0" xfId="7" applyFill="1" applyBorder="1" applyAlignment="1">
      <alignment wrapText="1" readingOrder="1"/>
    </xf>
    <xf numFmtId="0" fontId="0" fillId="9" borderId="23" xfId="0" applyFill="1" applyBorder="1" applyProtection="1">
      <protection locked="0"/>
    </xf>
    <xf numFmtId="0" fontId="0" fillId="9" borderId="10" xfId="0" applyFill="1" applyBorder="1" applyProtection="1">
      <protection locked="0"/>
    </xf>
    <xf numFmtId="3" fontId="0" fillId="9" borderId="10" xfId="0" applyNumberFormat="1" applyFill="1" applyBorder="1" applyProtection="1">
      <protection locked="0"/>
    </xf>
    <xf numFmtId="0" fontId="0" fillId="8" borderId="23" xfId="0" applyFill="1" applyBorder="1" applyProtection="1">
      <protection locked="0"/>
    </xf>
    <xf numFmtId="0" fontId="0" fillId="8" borderId="10" xfId="0" applyFill="1" applyBorder="1" applyProtection="1">
      <protection locked="0"/>
    </xf>
    <xf numFmtId="3" fontId="0" fillId="8" borderId="10" xfId="0" applyNumberFormat="1" applyFill="1" applyBorder="1" applyProtection="1">
      <protection locked="0"/>
    </xf>
    <xf numFmtId="49" fontId="0" fillId="9" borderId="23" xfId="0" applyNumberFormat="1" applyFill="1" applyBorder="1" applyProtection="1">
      <protection locked="0"/>
    </xf>
    <xf numFmtId="49" fontId="0" fillId="8" borderId="23" xfId="0" applyNumberFormat="1" applyFill="1" applyBorder="1" applyProtection="1">
      <protection locked="0"/>
    </xf>
    <xf numFmtId="0" fontId="0" fillId="9" borderId="41" xfId="0" applyFill="1" applyBorder="1" applyProtection="1">
      <protection locked="0"/>
    </xf>
    <xf numFmtId="0" fontId="0" fillId="8" borderId="41" xfId="0" applyFill="1" applyBorder="1" applyProtection="1">
      <protection locked="0"/>
    </xf>
    <xf numFmtId="3" fontId="0" fillId="8" borderId="41" xfId="0" applyNumberFormat="1" applyFill="1" applyBorder="1" applyProtection="1">
      <protection locked="0"/>
    </xf>
    <xf numFmtId="0" fontId="0" fillId="13" borderId="23" xfId="0" applyFill="1" applyBorder="1" applyProtection="1">
      <protection locked="0"/>
    </xf>
    <xf numFmtId="0" fontId="0" fillId="13" borderId="10" xfId="0" applyFill="1" applyBorder="1" applyProtection="1">
      <protection locked="0"/>
    </xf>
    <xf numFmtId="0" fontId="0" fillId="13" borderId="41" xfId="0" applyFill="1" applyBorder="1" applyProtection="1">
      <protection locked="0"/>
    </xf>
    <xf numFmtId="0" fontId="0" fillId="10" borderId="23" xfId="0" applyFill="1" applyBorder="1" applyProtection="1">
      <protection locked="0"/>
    </xf>
    <xf numFmtId="0" fontId="0" fillId="10" borderId="10" xfId="0" applyFill="1" applyBorder="1" applyProtection="1">
      <protection locked="0"/>
    </xf>
    <xf numFmtId="0" fontId="0" fillId="10" borderId="41" xfId="0" applyFill="1" applyBorder="1" applyProtection="1">
      <protection locked="0"/>
    </xf>
    <xf numFmtId="0" fontId="0" fillId="13" borderId="19" xfId="0" applyFill="1" applyBorder="1" applyProtection="1">
      <protection locked="0"/>
    </xf>
    <xf numFmtId="0" fontId="0" fillId="13" borderId="63" xfId="0" applyFill="1" applyBorder="1" applyProtection="1">
      <protection locked="0"/>
    </xf>
    <xf numFmtId="0" fontId="0" fillId="9" borderId="62" xfId="0" applyFill="1" applyBorder="1" applyProtection="1">
      <protection locked="0"/>
    </xf>
    <xf numFmtId="0" fontId="0" fillId="9" borderId="19" xfId="0" applyFill="1" applyBorder="1" applyProtection="1">
      <protection locked="0"/>
    </xf>
    <xf numFmtId="3" fontId="0" fillId="9" borderId="19" xfId="0" applyNumberFormat="1" applyFill="1" applyBorder="1" applyProtection="1">
      <protection locked="0"/>
    </xf>
    <xf numFmtId="0" fontId="0" fillId="9" borderId="56" xfId="0" applyFill="1" applyBorder="1" applyProtection="1">
      <protection locked="0"/>
    </xf>
    <xf numFmtId="0" fontId="0" fillId="9" borderId="18" xfId="0" applyFill="1" applyBorder="1" applyProtection="1">
      <protection locked="0"/>
    </xf>
    <xf numFmtId="3" fontId="0" fillId="9" borderId="18" xfId="0" applyNumberFormat="1" applyFill="1" applyBorder="1" applyProtection="1">
      <protection locked="0"/>
    </xf>
    <xf numFmtId="0" fontId="0" fillId="2" borderId="0" xfId="0" applyFill="1" applyAlignment="1" applyProtection="1">
      <alignment horizontal="center" vertical="center"/>
      <protection locked="0"/>
    </xf>
    <xf numFmtId="0" fontId="12" fillId="2" borderId="0" xfId="5" applyFill="1" applyAlignment="1">
      <alignment horizontal="center"/>
    </xf>
    <xf numFmtId="0" fontId="16" fillId="13" borderId="52" xfId="7" applyFill="1" applyBorder="1" applyAlignment="1">
      <alignment horizontal="center" vertical="center" wrapText="1" readingOrder="1"/>
    </xf>
    <xf numFmtId="0" fontId="16" fillId="2" borderId="0" xfId="7" applyFill="1" applyBorder="1" applyAlignment="1">
      <alignment horizontal="left" wrapText="1" readingOrder="1"/>
    </xf>
    <xf numFmtId="0" fontId="16" fillId="11" borderId="0" xfId="7" applyFill="1" applyBorder="1" applyAlignment="1">
      <alignment horizontal="center" vertical="center"/>
    </xf>
    <xf numFmtId="0" fontId="15" fillId="2" borderId="0" xfId="0" quotePrefix="1" applyFont="1" applyFill="1" applyAlignment="1">
      <alignment horizontal="left" vertical="center" wrapText="1"/>
    </xf>
    <xf numFmtId="0" fontId="15" fillId="2" borderId="0" xfId="0" quotePrefix="1" applyFont="1" applyFill="1" applyAlignment="1">
      <alignment horizontal="left" vertical="top" wrapText="1"/>
    </xf>
    <xf numFmtId="0" fontId="15" fillId="2" borderId="0" xfId="0" applyFont="1" applyFill="1" applyAlignment="1">
      <alignment horizontal="left" vertical="center" wrapText="1"/>
    </xf>
    <xf numFmtId="0" fontId="16" fillId="11" borderId="0" xfId="7" applyFill="1" applyBorder="1" applyAlignment="1">
      <alignment horizontal="center" vertical="center" wrapText="1"/>
    </xf>
    <xf numFmtId="0" fontId="0" fillId="2" borderId="0" xfId="0" applyFill="1" applyAlignment="1">
      <alignment horizontal="center" wrapText="1"/>
    </xf>
    <xf numFmtId="0" fontId="14" fillId="13" borderId="25" xfId="0" applyFont="1" applyFill="1" applyBorder="1" applyAlignment="1">
      <alignment horizontal="center" vertical="center" wrapText="1"/>
    </xf>
    <xf numFmtId="0" fontId="14" fillId="13" borderId="26" xfId="0" applyFont="1" applyFill="1" applyBorder="1" applyAlignment="1">
      <alignment horizontal="center" vertical="center" wrapText="1"/>
    </xf>
    <xf numFmtId="0" fontId="14" fillId="13" borderId="29" xfId="0" applyFont="1" applyFill="1" applyBorder="1" applyAlignment="1">
      <alignment horizontal="center" vertical="center" wrapText="1"/>
    </xf>
    <xf numFmtId="0" fontId="14" fillId="13" borderId="30" xfId="0" applyFont="1" applyFill="1" applyBorder="1" applyAlignment="1">
      <alignment horizontal="center" vertical="center" wrapText="1"/>
    </xf>
    <xf numFmtId="0" fontId="14" fillId="13" borderId="31" xfId="0" applyFont="1" applyFill="1" applyBorder="1" applyAlignment="1">
      <alignment horizontal="center" vertical="center" wrapText="1"/>
    </xf>
    <xf numFmtId="0" fontId="14" fillId="13" borderId="34" xfId="0" applyFont="1" applyFill="1" applyBorder="1" applyAlignment="1">
      <alignment horizontal="center" vertical="center" wrapText="1"/>
    </xf>
    <xf numFmtId="0" fontId="15" fillId="2" borderId="0" xfId="0" applyFont="1" applyFill="1" applyAlignment="1">
      <alignment horizontal="center" vertical="center" wrapText="1"/>
    </xf>
    <xf numFmtId="0" fontId="15" fillId="2" borderId="0" xfId="0" applyFont="1" applyFill="1" applyAlignment="1">
      <alignment horizontal="center" vertical="center"/>
    </xf>
    <xf numFmtId="0" fontId="0" fillId="2" borderId="0" xfId="0" applyFill="1" applyAlignment="1">
      <alignment horizontal="center"/>
    </xf>
    <xf numFmtId="0" fontId="16" fillId="2" borderId="0" xfId="7" applyFill="1" applyAlignment="1">
      <alignment horizontal="center"/>
    </xf>
    <xf numFmtId="0" fontId="0" fillId="2" borderId="0" xfId="0" applyFill="1" applyAlignment="1">
      <alignment horizontal="left"/>
    </xf>
    <xf numFmtId="0" fontId="2" fillId="5" borderId="10" xfId="0" applyFont="1" applyFill="1" applyBorder="1"/>
    <xf numFmtId="0" fontId="0" fillId="13" borderId="10" xfId="0" applyFill="1" applyBorder="1"/>
    <xf numFmtId="0" fontId="12" fillId="0" borderId="0" xfId="5" applyAlignment="1">
      <alignment horizontal="center"/>
    </xf>
    <xf numFmtId="0" fontId="13" fillId="0" borderId="52" xfId="6" applyAlignment="1">
      <alignment horizontal="center"/>
    </xf>
    <xf numFmtId="0" fontId="2" fillId="5" borderId="41" xfId="0" applyFont="1" applyFill="1" applyBorder="1" applyAlignment="1">
      <alignment horizontal="left"/>
    </xf>
    <xf numFmtId="0" fontId="2" fillId="5" borderId="40" xfId="0" applyFont="1" applyFill="1" applyBorder="1" applyAlignment="1">
      <alignment horizontal="left"/>
    </xf>
    <xf numFmtId="0" fontId="2" fillId="5" borderId="23" xfId="0" applyFont="1" applyFill="1" applyBorder="1" applyAlignment="1">
      <alignment horizontal="left"/>
    </xf>
    <xf numFmtId="0" fontId="0" fillId="13" borderId="41" xfId="0" applyFill="1" applyBorder="1" applyAlignment="1">
      <alignment horizontal="left"/>
    </xf>
    <xf numFmtId="0" fontId="0" fillId="13" borderId="40" xfId="0" applyFill="1" applyBorder="1" applyAlignment="1">
      <alignment horizontal="left"/>
    </xf>
    <xf numFmtId="0" fontId="0" fillId="13" borderId="23" xfId="0" applyFill="1" applyBorder="1" applyAlignment="1">
      <alignment horizontal="left"/>
    </xf>
    <xf numFmtId="0" fontId="24" fillId="3" borderId="16" xfId="0" applyFont="1" applyFill="1" applyBorder="1" applyAlignment="1">
      <alignment horizontal="center"/>
    </xf>
    <xf numFmtId="0" fontId="24" fillId="3" borderId="57" xfId="0" applyFont="1" applyFill="1" applyBorder="1" applyAlignment="1">
      <alignment horizontal="center"/>
    </xf>
    <xf numFmtId="0" fontId="0" fillId="2" borderId="61" xfId="0" applyFill="1" applyBorder="1" applyAlignment="1">
      <alignment horizontal="center" wrapText="1"/>
    </xf>
    <xf numFmtId="0" fontId="13" fillId="0" borderId="0" xfId="6" applyBorder="1" applyAlignment="1">
      <alignment horizontal="center"/>
    </xf>
    <xf numFmtId="0" fontId="12" fillId="2" borderId="0" xfId="5" applyFill="1" applyAlignment="1">
      <alignment horizontal="center"/>
    </xf>
    <xf numFmtId="0" fontId="0" fillId="0" borderId="0" xfId="0" applyAlignment="1">
      <alignment horizontal="center"/>
    </xf>
    <xf numFmtId="0" fontId="0" fillId="2" borderId="0" xfId="0" applyFill="1" applyAlignment="1">
      <alignment horizontal="left" vertical="top" wrapText="1"/>
    </xf>
    <xf numFmtId="0" fontId="34" fillId="2" borderId="0" xfId="0" applyFont="1" applyFill="1" applyAlignment="1">
      <alignment horizontal="left" vertical="top" wrapText="1"/>
    </xf>
    <xf numFmtId="0" fontId="35" fillId="2" borderId="0" xfId="0" applyFont="1" applyFill="1" applyAlignment="1">
      <alignment horizontal="left" vertical="top" wrapText="1"/>
    </xf>
    <xf numFmtId="0" fontId="16" fillId="10" borderId="0" xfId="7" applyFill="1" applyBorder="1" applyAlignment="1">
      <alignment horizontal="center"/>
    </xf>
    <xf numFmtId="0" fontId="2" fillId="2" borderId="61" xfId="0" applyFont="1" applyFill="1" applyBorder="1"/>
    <xf numFmtId="0" fontId="32" fillId="2" borderId="0" xfId="0" applyFont="1" applyFill="1" applyAlignment="1">
      <alignment horizontal="center"/>
    </xf>
    <xf numFmtId="0" fontId="20" fillId="7" borderId="16" xfId="8" applyFont="1" applyFill="1" applyBorder="1" applyAlignment="1">
      <alignment horizontal="center"/>
    </xf>
    <xf numFmtId="0" fontId="20" fillId="7" borderId="50" xfId="8" applyFont="1" applyFill="1" applyBorder="1" applyAlignment="1">
      <alignment horizontal="center"/>
    </xf>
    <xf numFmtId="0" fontId="13" fillId="2" borderId="52" xfId="6" applyFill="1" applyAlignment="1">
      <alignment horizontal="center"/>
    </xf>
    <xf numFmtId="0" fontId="20" fillId="7" borderId="49" xfId="8" applyFont="1" applyFill="1" applyBorder="1" applyAlignment="1">
      <alignment horizontal="center"/>
    </xf>
    <xf numFmtId="0" fontId="0" fillId="18" borderId="10" xfId="0" applyFill="1" applyBorder="1"/>
    <xf numFmtId="0" fontId="2" fillId="7" borderId="10" xfId="0" applyFont="1" applyFill="1" applyBorder="1" applyAlignment="1">
      <alignment horizontal="center"/>
    </xf>
    <xf numFmtId="0" fontId="0" fillId="5" borderId="10" xfId="0" applyFill="1" applyBorder="1"/>
    <xf numFmtId="0" fontId="31" fillId="17" borderId="66" xfId="0" applyFont="1" applyFill="1" applyBorder="1" applyAlignment="1">
      <alignment horizontal="center" wrapText="1"/>
    </xf>
    <xf numFmtId="0" fontId="31" fillId="17" borderId="65" xfId="0" applyFont="1" applyFill="1" applyBorder="1" applyAlignment="1">
      <alignment horizontal="center" wrapText="1"/>
    </xf>
    <xf numFmtId="0" fontId="0" fillId="2" borderId="0" xfId="0" applyFill="1"/>
    <xf numFmtId="0" fontId="0" fillId="2" borderId="10" xfId="0" applyFill="1" applyBorder="1"/>
    <xf numFmtId="0" fontId="31" fillId="17" borderId="64" xfId="0" applyFont="1" applyFill="1" applyBorder="1" applyAlignment="1">
      <alignment horizontal="center" wrapText="1"/>
    </xf>
    <xf numFmtId="0" fontId="31" fillId="17" borderId="67" xfId="0" applyFont="1" applyFill="1" applyBorder="1" applyAlignment="1">
      <alignment horizontal="center" wrapText="1"/>
    </xf>
    <xf numFmtId="0" fontId="31" fillId="17" borderId="70" xfId="0" applyFont="1" applyFill="1" applyBorder="1" applyAlignment="1">
      <alignment horizontal="center" wrapText="1"/>
    </xf>
    <xf numFmtId="0" fontId="31" fillId="17" borderId="68" xfId="0" applyFont="1" applyFill="1" applyBorder="1" applyAlignment="1">
      <alignment horizontal="center" wrapText="1"/>
    </xf>
    <xf numFmtId="0" fontId="31" fillId="17" borderId="69" xfId="0" applyFont="1" applyFill="1" applyBorder="1" applyAlignment="1">
      <alignment horizontal="center" wrapText="1"/>
    </xf>
    <xf numFmtId="0" fontId="31" fillId="17" borderId="71" xfId="0" applyFont="1" applyFill="1" applyBorder="1" applyAlignment="1">
      <alignment horizontal="center" wrapText="1"/>
    </xf>
    <xf numFmtId="0" fontId="3" fillId="7" borderId="16" xfId="0" applyFont="1" applyFill="1" applyBorder="1" applyAlignment="1">
      <alignment horizontal="left" vertical="center"/>
    </xf>
    <xf numFmtId="0" fontId="3" fillId="7" borderId="49" xfId="0" applyFont="1" applyFill="1" applyBorder="1" applyAlignment="1">
      <alignment horizontal="left" vertical="center"/>
    </xf>
    <xf numFmtId="0" fontId="3" fillId="7" borderId="50" xfId="0" applyFont="1" applyFill="1" applyBorder="1" applyAlignment="1">
      <alignment horizontal="left" vertical="center"/>
    </xf>
    <xf numFmtId="0" fontId="3" fillId="7" borderId="16" xfId="0" applyFont="1" applyFill="1" applyBorder="1" applyAlignment="1">
      <alignment horizontal="left"/>
    </xf>
    <xf numFmtId="0" fontId="3" fillId="7" borderId="49" xfId="0" applyFont="1" applyFill="1" applyBorder="1" applyAlignment="1">
      <alignment horizontal="left"/>
    </xf>
    <xf numFmtId="0" fontId="3" fillId="7" borderId="50" xfId="0" applyFont="1" applyFill="1" applyBorder="1" applyAlignment="1">
      <alignment horizontal="left"/>
    </xf>
    <xf numFmtId="0" fontId="0" fillId="0" borderId="41" xfId="0" applyBorder="1" applyAlignment="1">
      <alignment horizontal="left"/>
    </xf>
    <xf numFmtId="0" fontId="0" fillId="0" borderId="40" xfId="0" applyBorder="1" applyAlignment="1">
      <alignment horizontal="left"/>
    </xf>
    <xf numFmtId="0" fontId="0" fillId="0" borderId="42" xfId="0" applyBorder="1" applyAlignment="1">
      <alignment horizontal="left"/>
    </xf>
    <xf numFmtId="0" fontId="5" fillId="0" borderId="41" xfId="0" applyFont="1" applyBorder="1" applyAlignment="1">
      <alignment horizontal="left"/>
    </xf>
    <xf numFmtId="0" fontId="5" fillId="0" borderId="40" xfId="0" applyFont="1" applyBorder="1" applyAlignment="1">
      <alignment horizontal="left"/>
    </xf>
    <xf numFmtId="0" fontId="5" fillId="0" borderId="42" xfId="0" applyFont="1" applyBorder="1" applyAlignment="1">
      <alignment horizontal="left"/>
    </xf>
    <xf numFmtId="0" fontId="5" fillId="0" borderId="41" xfId="0" applyFont="1" applyBorder="1" applyAlignment="1">
      <alignment horizontal="left" wrapText="1"/>
    </xf>
    <xf numFmtId="0" fontId="5" fillId="0" borderId="40" xfId="0" applyFont="1" applyBorder="1" applyAlignment="1">
      <alignment horizontal="left" wrapText="1"/>
    </xf>
    <xf numFmtId="0" fontId="5" fillId="0" borderId="42" xfId="0" applyFont="1" applyBorder="1" applyAlignment="1">
      <alignment horizontal="left" wrapText="1"/>
    </xf>
    <xf numFmtId="2" fontId="3" fillId="5" borderId="16" xfId="3" applyNumberFormat="1" applyFont="1" applyFill="1" applyBorder="1" applyAlignment="1">
      <alignment horizontal="center" vertical="center"/>
    </xf>
    <xf numFmtId="2" fontId="3" fillId="5" borderId="49" xfId="3" applyNumberFormat="1" applyFont="1" applyFill="1" applyBorder="1" applyAlignment="1">
      <alignment horizontal="center" vertical="center"/>
    </xf>
    <xf numFmtId="0" fontId="0" fillId="0" borderId="38" xfId="0" applyBorder="1" applyAlignment="1">
      <alignment horizontal="left"/>
    </xf>
    <xf numFmtId="0" fontId="0" fillId="0" borderId="36" xfId="0" applyBorder="1" applyAlignment="1">
      <alignment horizontal="left"/>
    </xf>
    <xf numFmtId="0" fontId="0" fillId="0" borderId="39" xfId="0" applyBorder="1" applyAlignment="1">
      <alignment horizontal="left"/>
    </xf>
    <xf numFmtId="0" fontId="3" fillId="3" borderId="51" xfId="0" applyFont="1" applyFill="1" applyBorder="1" applyAlignment="1">
      <alignment horizontal="center" vertical="top" wrapText="1"/>
    </xf>
    <xf numFmtId="0" fontId="3" fillId="3" borderId="49" xfId="0" applyFont="1" applyFill="1" applyBorder="1" applyAlignment="1">
      <alignment horizontal="center" vertical="top" wrapText="1"/>
    </xf>
    <xf numFmtId="0" fontId="3" fillId="3" borderId="50" xfId="0" applyFont="1" applyFill="1" applyBorder="1" applyAlignment="1">
      <alignment horizontal="center" vertical="top" wrapText="1"/>
    </xf>
    <xf numFmtId="172" fontId="5" fillId="0" borderId="41" xfId="0" applyNumberFormat="1" applyFont="1" applyBorder="1" applyAlignment="1">
      <alignment horizontal="center"/>
    </xf>
    <xf numFmtId="172" fontId="5" fillId="0" borderId="42" xfId="0" applyNumberFormat="1" applyFont="1" applyBorder="1" applyAlignment="1">
      <alignment horizontal="center"/>
    </xf>
    <xf numFmtId="0" fontId="5" fillId="4" borderId="22" xfId="0" applyFont="1" applyFill="1" applyBorder="1" applyAlignment="1">
      <alignment horizontal="left"/>
    </xf>
    <xf numFmtId="0" fontId="5" fillId="4" borderId="40" xfId="0" applyFont="1" applyFill="1" applyBorder="1" applyAlignment="1">
      <alignment horizontal="left"/>
    </xf>
    <xf numFmtId="0" fontId="5" fillId="4" borderId="23" xfId="0" applyFont="1" applyFill="1" applyBorder="1" applyAlignment="1">
      <alignment horizontal="left"/>
    </xf>
    <xf numFmtId="0" fontId="5" fillId="4" borderId="43" xfId="0" applyFont="1" applyFill="1" applyBorder="1" applyAlignment="1">
      <alignment horizontal="left"/>
    </xf>
    <xf numFmtId="0" fontId="5" fillId="4" borderId="44" xfId="0" applyFont="1" applyFill="1" applyBorder="1" applyAlignment="1">
      <alignment horizontal="left"/>
    </xf>
    <xf numFmtId="0" fontId="5" fillId="4" borderId="45" xfId="0" applyFont="1" applyFill="1" applyBorder="1" applyAlignment="1">
      <alignment horizontal="left"/>
    </xf>
    <xf numFmtId="172" fontId="5" fillId="0" borderId="46" xfId="0" applyNumberFormat="1" applyFont="1" applyBorder="1" applyAlignment="1">
      <alignment horizontal="center"/>
    </xf>
    <xf numFmtId="172" fontId="5" fillId="0" borderId="47" xfId="0" applyNumberFormat="1" applyFont="1" applyBorder="1" applyAlignment="1">
      <alignment horizontal="center"/>
    </xf>
    <xf numFmtId="0" fontId="0" fillId="0" borderId="41" xfId="0" applyBorder="1" applyAlignment="1">
      <alignment horizontal="center"/>
    </xf>
    <xf numFmtId="0" fontId="0" fillId="0" borderId="40" xfId="0" applyBorder="1" applyAlignment="1">
      <alignment horizontal="center"/>
    </xf>
    <xf numFmtId="0" fontId="0" fillId="0" borderId="42" xfId="0" applyBorder="1" applyAlignment="1">
      <alignment horizontal="center"/>
    </xf>
    <xf numFmtId="0" fontId="5" fillId="0" borderId="41" xfId="0" applyFont="1" applyBorder="1" applyAlignment="1">
      <alignment horizontal="center" wrapText="1"/>
    </xf>
    <xf numFmtId="0" fontId="5" fillId="0" borderId="40" xfId="0" applyFont="1" applyBorder="1" applyAlignment="1">
      <alignment horizontal="center" wrapText="1"/>
    </xf>
    <xf numFmtId="0" fontId="5" fillId="0" borderId="42" xfId="0" applyFont="1" applyBorder="1" applyAlignment="1">
      <alignment horizontal="center" wrapText="1"/>
    </xf>
    <xf numFmtId="0" fontId="5" fillId="4" borderId="2" xfId="0" applyFont="1" applyFill="1" applyBorder="1" applyAlignment="1">
      <alignment horizontal="left" vertical="center"/>
    </xf>
    <xf numFmtId="0" fontId="5" fillId="4" borderId="17" xfId="0" applyFont="1" applyFill="1" applyBorder="1" applyAlignment="1">
      <alignment horizontal="left" vertical="center"/>
    </xf>
    <xf numFmtId="0" fontId="5" fillId="4" borderId="18" xfId="0" applyFont="1" applyFill="1" applyBorder="1" applyAlignment="1">
      <alignment horizontal="left" vertical="center"/>
    </xf>
    <xf numFmtId="0" fontId="5" fillId="4" borderId="19" xfId="0" applyFont="1" applyFill="1" applyBorder="1" applyAlignment="1">
      <alignment horizontal="left" vertical="center"/>
    </xf>
    <xf numFmtId="0" fontId="3" fillId="3" borderId="33" xfId="0" applyFont="1" applyFill="1" applyBorder="1" applyAlignment="1">
      <alignment horizontal="center"/>
    </xf>
    <xf numFmtId="0" fontId="3" fillId="3" borderId="34" xfId="0" applyFont="1" applyFill="1" applyBorder="1" applyAlignment="1">
      <alignment horizontal="center"/>
    </xf>
    <xf numFmtId="0" fontId="5" fillId="4" borderId="35" xfId="0" applyFont="1" applyFill="1" applyBorder="1" applyAlignment="1">
      <alignment horizontal="left"/>
    </xf>
    <xf numFmtId="0" fontId="5" fillId="4" borderId="36" xfId="0" applyFont="1" applyFill="1" applyBorder="1" applyAlignment="1">
      <alignment horizontal="left"/>
    </xf>
    <xf numFmtId="0" fontId="5" fillId="4" borderId="37" xfId="0" applyFont="1" applyFill="1" applyBorder="1" applyAlignment="1">
      <alignment horizontal="left"/>
    </xf>
    <xf numFmtId="0" fontId="3" fillId="3" borderId="28" xfId="0" applyFont="1" applyFill="1" applyBorder="1" applyAlignment="1">
      <alignment horizontal="center"/>
    </xf>
    <xf numFmtId="0" fontId="3" fillId="3" borderId="29" xfId="0" applyFont="1" applyFill="1" applyBorder="1" applyAlignment="1">
      <alignment horizontal="center"/>
    </xf>
    <xf numFmtId="0" fontId="3" fillId="3" borderId="30" xfId="0" applyFont="1" applyFill="1" applyBorder="1" applyAlignment="1">
      <alignment horizontal="center"/>
    </xf>
    <xf numFmtId="0" fontId="3" fillId="3" borderId="31" xfId="0" applyFont="1" applyFill="1" applyBorder="1" applyAlignment="1">
      <alignment horizontal="center"/>
    </xf>
    <xf numFmtId="0" fontId="3" fillId="3" borderId="32" xfId="0" applyFont="1" applyFill="1" applyBorder="1" applyAlignment="1">
      <alignment horizontal="center"/>
    </xf>
    <xf numFmtId="0" fontId="3" fillId="3" borderId="25" xfId="0" applyFont="1" applyFill="1" applyBorder="1" applyAlignment="1">
      <alignment horizontal="center"/>
    </xf>
    <xf numFmtId="0" fontId="3" fillId="3" borderId="26" xfId="0" applyFont="1" applyFill="1" applyBorder="1" applyAlignment="1">
      <alignment horizontal="center"/>
    </xf>
    <xf numFmtId="0" fontId="3" fillId="3" borderId="27" xfId="0" applyFont="1" applyFill="1" applyBorder="1" applyAlignment="1">
      <alignment horizontal="center"/>
    </xf>
    <xf numFmtId="172" fontId="5" fillId="0" borderId="38" xfId="0" applyNumberFormat="1" applyFont="1" applyBorder="1" applyAlignment="1">
      <alignment horizontal="center"/>
    </xf>
    <xf numFmtId="172" fontId="5" fillId="0" borderId="39" xfId="0" applyNumberFormat="1" applyFont="1" applyBorder="1" applyAlignment="1">
      <alignment horizontal="center"/>
    </xf>
    <xf numFmtId="0" fontId="5" fillId="0" borderId="0" xfId="0" applyFont="1" applyAlignment="1">
      <alignment horizontal="left"/>
    </xf>
  </cellXfs>
  <cellStyles count="10">
    <cellStyle name="Comma" xfId="1" builtinId="3"/>
    <cellStyle name="Comma 2" xfId="2" xr:uid="{8AF26B6B-4ED2-4DDD-ACE3-5AFDAB1DE830}"/>
    <cellStyle name="Heading 2" xfId="6" builtinId="17"/>
    <cellStyle name="Heading 4" xfId="7" builtinId="19"/>
    <cellStyle name="Normal" xfId="0" builtinId="0"/>
    <cellStyle name="Normal 128" xfId="3" xr:uid="{752094DA-69A9-4276-8CCE-8354A4D0E172}"/>
    <cellStyle name="Normal 5" xfId="4" xr:uid="{FEADC755-46E1-4DF2-B6F1-EDA625172B40}"/>
    <cellStyle name="Standard 2" xfId="8" xr:uid="{9D92B304-ED1F-4979-8F28-98A1ACE27B47}"/>
    <cellStyle name="Standard 3" xfId="9" xr:uid="{5BD7750B-8DC9-475D-B58E-671FD6525E8D}"/>
    <cellStyle name="Title" xfId="5"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spPr>
            <a:solidFill>
              <a:schemeClr val="accent1"/>
            </a:solidFill>
            <a:ln>
              <a:noFill/>
            </a:ln>
            <a:effectLst/>
          </c:spPr>
          <c:invertIfNegative val="0"/>
          <c:cat>
            <c:strRef>
              <c:f>Results!$B$69:$B$75</c:f>
              <c:strCache>
                <c:ptCount val="7"/>
                <c:pt idx="0">
                  <c:v>Global warming   </c:v>
                </c:pt>
                <c:pt idx="1">
                  <c:v>Ozone depletion</c:v>
                </c:pt>
                <c:pt idx="2">
                  <c:v>Fine particulate matter</c:v>
                </c:pt>
                <c:pt idx="3">
                  <c:v>Mineral resource scarcity</c:v>
                </c:pt>
                <c:pt idx="4">
                  <c:v>Fossil resource scracity</c:v>
                </c:pt>
                <c:pt idx="5">
                  <c:v>Land use</c:v>
                </c:pt>
                <c:pt idx="6">
                  <c:v>Water use</c:v>
                </c:pt>
              </c:strCache>
            </c:strRef>
          </c:cat>
          <c:val>
            <c:numRef>
              <c:f>Results!$H$69:$H$75</c:f>
              <c:numCache>
                <c:formatCode>General</c:formatCode>
                <c:ptCount val="7"/>
                <c:pt idx="0">
                  <c:v>28162.5645058025</c:v>
                </c:pt>
                <c:pt idx="1">
                  <c:v>0</c:v>
                </c:pt>
                <c:pt idx="2">
                  <c:v>0</c:v>
                </c:pt>
                <c:pt idx="3">
                  <c:v>0</c:v>
                </c:pt>
                <c:pt idx="4">
                  <c:v>0</c:v>
                </c:pt>
                <c:pt idx="5">
                  <c:v>0.14462910000000001</c:v>
                </c:pt>
                <c:pt idx="6">
                  <c:v>253.62246999999999</c:v>
                </c:pt>
              </c:numCache>
            </c:numRef>
          </c:val>
          <c:extLst>
            <c:ext xmlns:c16="http://schemas.microsoft.com/office/drawing/2014/chart" uri="{C3380CC4-5D6E-409C-BE32-E72D297353CC}">
              <c16:uniqueId val="{00000000-0B2B-449C-9563-840DABBAEC39}"/>
            </c:ext>
          </c:extLst>
        </c:ser>
        <c:dLbls>
          <c:showLegendKey val="0"/>
          <c:showVal val="0"/>
          <c:showCatName val="0"/>
          <c:showSerName val="0"/>
          <c:showPercent val="0"/>
          <c:showBubbleSize val="0"/>
        </c:dLbls>
        <c:gapWidth val="219"/>
        <c:overlap val="-27"/>
        <c:axId val="2106723071"/>
        <c:axId val="1639723615"/>
      </c:barChart>
      <c:catAx>
        <c:axId val="2106723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1639723615"/>
        <c:crosses val="autoZero"/>
        <c:auto val="1"/>
        <c:lblAlgn val="ctr"/>
        <c:lblOffset val="100"/>
        <c:noMultiLvlLbl val="0"/>
      </c:catAx>
      <c:valAx>
        <c:axId val="1639723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2106723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Scope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spPr>
            <a:solidFill>
              <a:schemeClr val="accent1"/>
            </a:solidFill>
            <a:ln>
              <a:noFill/>
            </a:ln>
            <a:effectLst/>
          </c:spPr>
          <c:invertIfNegative val="0"/>
          <c:cat>
            <c:strRef>
              <c:f>(Results!$B$69:$B$71,Results!$B$74:$B$75)</c:f>
              <c:strCache>
                <c:ptCount val="5"/>
                <c:pt idx="0">
                  <c:v>Global warming   </c:v>
                </c:pt>
                <c:pt idx="1">
                  <c:v>Ozone depletion</c:v>
                </c:pt>
                <c:pt idx="2">
                  <c:v>Fine particulate matter</c:v>
                </c:pt>
                <c:pt idx="3">
                  <c:v>Land use</c:v>
                </c:pt>
                <c:pt idx="4">
                  <c:v>Water use</c:v>
                </c:pt>
              </c:strCache>
            </c:strRef>
          </c:cat>
          <c:val>
            <c:numRef>
              <c:f>(Results!$E$69:$E$71,Results!$E$74:$E$75)</c:f>
              <c:numCache>
                <c:formatCode>General</c:formatCode>
                <c:ptCount val="5"/>
                <c:pt idx="0">
                  <c:v>0</c:v>
                </c:pt>
                <c:pt idx="1">
                  <c:v>0</c:v>
                </c:pt>
                <c:pt idx="2">
                  <c:v>0</c:v>
                </c:pt>
                <c:pt idx="3">
                  <c:v>0.14462910000000001</c:v>
                </c:pt>
                <c:pt idx="4">
                  <c:v>253.595</c:v>
                </c:pt>
              </c:numCache>
            </c:numRef>
          </c:val>
          <c:extLst>
            <c:ext xmlns:c16="http://schemas.microsoft.com/office/drawing/2014/chart" uri="{C3380CC4-5D6E-409C-BE32-E72D297353CC}">
              <c16:uniqueId val="{00000000-5AD9-4A66-93B4-A0FFB7EF64D8}"/>
            </c:ext>
          </c:extLst>
        </c:ser>
        <c:dLbls>
          <c:showLegendKey val="0"/>
          <c:showVal val="0"/>
          <c:showCatName val="0"/>
          <c:showSerName val="0"/>
          <c:showPercent val="0"/>
          <c:showBubbleSize val="0"/>
        </c:dLbls>
        <c:gapWidth val="219"/>
        <c:overlap val="-27"/>
        <c:axId val="2002259743"/>
        <c:axId val="44430943"/>
      </c:barChart>
      <c:catAx>
        <c:axId val="2002259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44430943"/>
        <c:crosses val="autoZero"/>
        <c:auto val="1"/>
        <c:lblAlgn val="ctr"/>
        <c:lblOffset val="100"/>
        <c:noMultiLvlLbl val="0"/>
      </c:catAx>
      <c:valAx>
        <c:axId val="4443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2002259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Scope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spPr>
            <a:solidFill>
              <a:schemeClr val="accent1"/>
            </a:solidFill>
            <a:ln>
              <a:noFill/>
            </a:ln>
            <a:effectLst/>
          </c:spPr>
          <c:invertIfNegative val="0"/>
          <c:cat>
            <c:strRef>
              <c:f>(Results!$B$69,Results!$B$72:$B$73)</c:f>
              <c:strCache>
                <c:ptCount val="3"/>
                <c:pt idx="0">
                  <c:v>Global warming   </c:v>
                </c:pt>
                <c:pt idx="1">
                  <c:v>Mineral resource scarcity</c:v>
                </c:pt>
                <c:pt idx="2">
                  <c:v>Fossil resource scracity</c:v>
                </c:pt>
              </c:strCache>
            </c:strRef>
          </c:cat>
          <c:val>
            <c:numRef>
              <c:f>(Results!$G$69,Results!$G$72:$G$73)</c:f>
              <c:numCache>
                <c:formatCode>General</c:formatCode>
                <c:ptCount val="3"/>
                <c:pt idx="0">
                  <c:v>13.801424202500002</c:v>
                </c:pt>
                <c:pt idx="1">
                  <c:v>0</c:v>
                </c:pt>
                <c:pt idx="2">
                  <c:v>0</c:v>
                </c:pt>
              </c:numCache>
            </c:numRef>
          </c:val>
          <c:extLst>
            <c:ext xmlns:c16="http://schemas.microsoft.com/office/drawing/2014/chart" uri="{C3380CC4-5D6E-409C-BE32-E72D297353CC}">
              <c16:uniqueId val="{00000000-4438-4B2D-AE36-C813517A465B}"/>
            </c:ext>
          </c:extLst>
        </c:ser>
        <c:dLbls>
          <c:showLegendKey val="0"/>
          <c:showVal val="0"/>
          <c:showCatName val="0"/>
          <c:showSerName val="0"/>
          <c:showPercent val="0"/>
          <c:showBubbleSize val="0"/>
        </c:dLbls>
        <c:gapWidth val="219"/>
        <c:overlap val="-27"/>
        <c:axId val="2110461951"/>
        <c:axId val="44405983"/>
      </c:barChart>
      <c:catAx>
        <c:axId val="21104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44405983"/>
        <c:crosses val="autoZero"/>
        <c:auto val="1"/>
        <c:lblAlgn val="ctr"/>
        <c:lblOffset val="100"/>
        <c:noMultiLvlLbl val="0"/>
      </c:catAx>
      <c:valAx>
        <c:axId val="44405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211046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tx>
            <c:strRef>
              <c:f>Results!$B$69</c:f>
              <c:strCache>
                <c:ptCount val="1"/>
                <c:pt idx="0">
                  <c:v>Global warming   </c:v>
                </c:pt>
              </c:strCache>
            </c:strRef>
          </c:tx>
          <c:spPr>
            <a:solidFill>
              <a:schemeClr val="accent6"/>
            </a:solidFill>
            <a:ln>
              <a:noFill/>
            </a:ln>
            <a:effectLst/>
          </c:spPr>
          <c:invertIfNegative val="0"/>
          <c:cat>
            <c:strRef>
              <c:f>Results!$E$68:$G$68</c:f>
              <c:strCache>
                <c:ptCount val="3"/>
                <c:pt idx="0">
                  <c:v>Scope 1</c:v>
                </c:pt>
                <c:pt idx="1">
                  <c:v>Scope 2</c:v>
                </c:pt>
                <c:pt idx="2">
                  <c:v>Scope 3</c:v>
                </c:pt>
              </c:strCache>
            </c:strRef>
          </c:cat>
          <c:val>
            <c:numRef>
              <c:f>Results!$E$69:$G$69</c:f>
              <c:numCache>
                <c:formatCode>General</c:formatCode>
                <c:ptCount val="3"/>
                <c:pt idx="0">
                  <c:v>0</c:v>
                </c:pt>
                <c:pt idx="1">
                  <c:v>28148.763081600002</c:v>
                </c:pt>
                <c:pt idx="2">
                  <c:v>13.801424202500002</c:v>
                </c:pt>
              </c:numCache>
            </c:numRef>
          </c:val>
          <c:extLst>
            <c:ext xmlns:c16="http://schemas.microsoft.com/office/drawing/2014/chart" uri="{C3380CC4-5D6E-409C-BE32-E72D297353CC}">
              <c16:uniqueId val="{00000000-4820-4C49-81B6-BEAF1CB0A78A}"/>
            </c:ext>
          </c:extLst>
        </c:ser>
        <c:dLbls>
          <c:showLegendKey val="0"/>
          <c:showVal val="0"/>
          <c:showCatName val="0"/>
          <c:showSerName val="0"/>
          <c:showPercent val="0"/>
          <c:showBubbleSize val="0"/>
        </c:dLbls>
        <c:gapWidth val="219"/>
        <c:overlap val="-27"/>
        <c:axId val="1654538527"/>
        <c:axId val="44431903"/>
      </c:barChart>
      <c:catAx>
        <c:axId val="165453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44431903"/>
        <c:crosses val="autoZero"/>
        <c:auto val="1"/>
        <c:lblAlgn val="ctr"/>
        <c:lblOffset val="100"/>
        <c:noMultiLvlLbl val="0"/>
      </c:catAx>
      <c:valAx>
        <c:axId val="44431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1654538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spPr>
            <a:solidFill>
              <a:schemeClr val="accent6"/>
            </a:solidFill>
            <a:ln>
              <a:noFill/>
            </a:ln>
            <a:effectLst/>
          </c:spPr>
          <c:invertIfNegative val="0"/>
          <c:cat>
            <c:strRef>
              <c:f>Results!$B$69:$B$75</c:f>
              <c:strCache>
                <c:ptCount val="7"/>
                <c:pt idx="0">
                  <c:v>Global warming   </c:v>
                </c:pt>
                <c:pt idx="1">
                  <c:v>Ozone depletion</c:v>
                </c:pt>
                <c:pt idx="2">
                  <c:v>Fine particulate matter</c:v>
                </c:pt>
                <c:pt idx="3">
                  <c:v>Mineral resource scarcity</c:v>
                </c:pt>
                <c:pt idx="4">
                  <c:v>Fossil resource scracity</c:v>
                </c:pt>
                <c:pt idx="5">
                  <c:v>Land use</c:v>
                </c:pt>
                <c:pt idx="6">
                  <c:v>Water use</c:v>
                </c:pt>
              </c:strCache>
            </c:strRef>
          </c:cat>
          <c:val>
            <c:numRef>
              <c:f>Results!$H$69:$H$75</c:f>
              <c:numCache>
                <c:formatCode>General</c:formatCode>
                <c:ptCount val="7"/>
                <c:pt idx="0">
                  <c:v>28162.5645058025</c:v>
                </c:pt>
                <c:pt idx="1">
                  <c:v>0</c:v>
                </c:pt>
                <c:pt idx="2">
                  <c:v>0</c:v>
                </c:pt>
                <c:pt idx="3">
                  <c:v>0</c:v>
                </c:pt>
                <c:pt idx="4">
                  <c:v>0</c:v>
                </c:pt>
                <c:pt idx="5">
                  <c:v>0.14462910000000001</c:v>
                </c:pt>
                <c:pt idx="6">
                  <c:v>253.62246999999999</c:v>
                </c:pt>
              </c:numCache>
            </c:numRef>
          </c:val>
          <c:extLst>
            <c:ext xmlns:c16="http://schemas.microsoft.com/office/drawing/2014/chart" uri="{C3380CC4-5D6E-409C-BE32-E72D297353CC}">
              <c16:uniqueId val="{00000000-0B2B-449C-9563-840DABBAEC39}"/>
            </c:ext>
          </c:extLst>
        </c:ser>
        <c:dLbls>
          <c:showLegendKey val="0"/>
          <c:showVal val="0"/>
          <c:showCatName val="0"/>
          <c:showSerName val="0"/>
          <c:showPercent val="0"/>
          <c:showBubbleSize val="0"/>
        </c:dLbls>
        <c:gapWidth val="219"/>
        <c:overlap val="-27"/>
        <c:axId val="2106723071"/>
        <c:axId val="1639723615"/>
      </c:barChart>
      <c:catAx>
        <c:axId val="2106723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1639723615"/>
        <c:crosses val="autoZero"/>
        <c:auto val="1"/>
        <c:lblAlgn val="ctr"/>
        <c:lblOffset val="100"/>
        <c:noMultiLvlLbl val="0"/>
      </c:catAx>
      <c:valAx>
        <c:axId val="16397236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2106723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Scope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spPr>
            <a:solidFill>
              <a:schemeClr val="accent6"/>
            </a:solidFill>
            <a:ln>
              <a:noFill/>
            </a:ln>
            <a:effectLst/>
          </c:spPr>
          <c:invertIfNegative val="0"/>
          <c:cat>
            <c:strRef>
              <c:f>(Results!$B$69:$B$71,Results!$B$74:$B$75)</c:f>
              <c:strCache>
                <c:ptCount val="5"/>
                <c:pt idx="0">
                  <c:v>Global warming   </c:v>
                </c:pt>
                <c:pt idx="1">
                  <c:v>Ozone depletion</c:v>
                </c:pt>
                <c:pt idx="2">
                  <c:v>Fine particulate matter</c:v>
                </c:pt>
                <c:pt idx="3">
                  <c:v>Land use</c:v>
                </c:pt>
                <c:pt idx="4">
                  <c:v>Water use</c:v>
                </c:pt>
              </c:strCache>
            </c:strRef>
          </c:cat>
          <c:val>
            <c:numRef>
              <c:f>(Results!$E$69:$E$71,Results!$E$74:$E$75)</c:f>
              <c:numCache>
                <c:formatCode>General</c:formatCode>
                <c:ptCount val="5"/>
                <c:pt idx="0">
                  <c:v>0</c:v>
                </c:pt>
                <c:pt idx="1">
                  <c:v>0</c:v>
                </c:pt>
                <c:pt idx="2">
                  <c:v>0</c:v>
                </c:pt>
                <c:pt idx="3">
                  <c:v>0.14462910000000001</c:v>
                </c:pt>
                <c:pt idx="4">
                  <c:v>253.595</c:v>
                </c:pt>
              </c:numCache>
            </c:numRef>
          </c:val>
          <c:extLst>
            <c:ext xmlns:c16="http://schemas.microsoft.com/office/drawing/2014/chart" uri="{C3380CC4-5D6E-409C-BE32-E72D297353CC}">
              <c16:uniqueId val="{00000000-5AD9-4A66-93B4-A0FFB7EF64D8}"/>
            </c:ext>
          </c:extLst>
        </c:ser>
        <c:dLbls>
          <c:showLegendKey val="0"/>
          <c:showVal val="0"/>
          <c:showCatName val="0"/>
          <c:showSerName val="0"/>
          <c:showPercent val="0"/>
          <c:showBubbleSize val="0"/>
        </c:dLbls>
        <c:gapWidth val="219"/>
        <c:overlap val="-27"/>
        <c:axId val="2002259743"/>
        <c:axId val="44430943"/>
      </c:barChart>
      <c:catAx>
        <c:axId val="2002259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44430943"/>
        <c:crosses val="autoZero"/>
        <c:auto val="1"/>
        <c:lblAlgn val="ctr"/>
        <c:lblOffset val="100"/>
        <c:noMultiLvlLbl val="0"/>
      </c:catAx>
      <c:valAx>
        <c:axId val="444309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2002259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Scope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S"/>
        </a:p>
      </c:txPr>
    </c:title>
    <c:autoTitleDeleted val="0"/>
    <c:plotArea>
      <c:layout/>
      <c:barChart>
        <c:barDir val="col"/>
        <c:grouping val="clustered"/>
        <c:varyColors val="0"/>
        <c:ser>
          <c:idx val="0"/>
          <c:order val="0"/>
          <c:spPr>
            <a:solidFill>
              <a:schemeClr val="accent6"/>
            </a:solidFill>
            <a:ln>
              <a:noFill/>
            </a:ln>
            <a:effectLst/>
          </c:spPr>
          <c:invertIfNegative val="0"/>
          <c:cat>
            <c:strRef>
              <c:f>(Results!$B$69,Results!$B$72:$B$73)</c:f>
              <c:strCache>
                <c:ptCount val="3"/>
                <c:pt idx="0">
                  <c:v>Global warming   </c:v>
                </c:pt>
                <c:pt idx="1">
                  <c:v>Mineral resource scarcity</c:v>
                </c:pt>
                <c:pt idx="2">
                  <c:v>Fossil resource scracity</c:v>
                </c:pt>
              </c:strCache>
            </c:strRef>
          </c:cat>
          <c:val>
            <c:numRef>
              <c:f>(Results!$G$69,Results!$G$72:$G$73)</c:f>
              <c:numCache>
                <c:formatCode>General</c:formatCode>
                <c:ptCount val="3"/>
                <c:pt idx="0">
                  <c:v>13.801424202500002</c:v>
                </c:pt>
                <c:pt idx="1">
                  <c:v>0</c:v>
                </c:pt>
                <c:pt idx="2">
                  <c:v>0</c:v>
                </c:pt>
              </c:numCache>
            </c:numRef>
          </c:val>
          <c:extLst>
            <c:ext xmlns:c16="http://schemas.microsoft.com/office/drawing/2014/chart" uri="{C3380CC4-5D6E-409C-BE32-E72D297353CC}">
              <c16:uniqueId val="{00000000-4438-4B2D-AE36-C813517A465B}"/>
            </c:ext>
          </c:extLst>
        </c:ser>
        <c:dLbls>
          <c:showLegendKey val="0"/>
          <c:showVal val="0"/>
          <c:showCatName val="0"/>
          <c:showSerName val="0"/>
          <c:showPercent val="0"/>
          <c:showBubbleSize val="0"/>
        </c:dLbls>
        <c:gapWidth val="219"/>
        <c:overlap val="-27"/>
        <c:axId val="2110461951"/>
        <c:axId val="44405983"/>
      </c:barChart>
      <c:catAx>
        <c:axId val="21104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44405983"/>
        <c:crosses val="autoZero"/>
        <c:auto val="1"/>
        <c:lblAlgn val="ctr"/>
        <c:lblOffset val="100"/>
        <c:noMultiLvlLbl val="0"/>
      </c:catAx>
      <c:valAx>
        <c:axId val="444059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S"/>
          </a:p>
        </c:txPr>
        <c:crossAx val="211046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S"/>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16</xdr:col>
      <xdr:colOff>819150</xdr:colOff>
      <xdr:row>31</xdr:row>
      <xdr:rowOff>152400</xdr:rowOff>
    </xdr:to>
    <xdr:pic>
      <xdr:nvPicPr>
        <xdr:cNvPr id="3" name="Grafik 2" descr="Ein Bild, das Aquarium, Pflanze, Gras, draußen enthält.&#10;&#10;Automatisch generierte Beschreibung">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l="5834" t="4593" r="956" b="26978"/>
        <a:stretch/>
      </xdr:blipFill>
      <xdr:spPr>
        <a:xfrm>
          <a:off x="838200" y="381000"/>
          <a:ext cx="13392150" cy="5676900"/>
        </a:xfrm>
        <a:prstGeom prst="rect">
          <a:avLst/>
        </a:prstGeom>
      </xdr:spPr>
    </xdr:pic>
    <xdr:clientData/>
  </xdr:twoCellAnchor>
  <xdr:twoCellAnchor>
    <xdr:from>
      <xdr:col>1</xdr:col>
      <xdr:colOff>447675</xdr:colOff>
      <xdr:row>4</xdr:row>
      <xdr:rowOff>47625</xdr:rowOff>
    </xdr:from>
    <xdr:to>
      <xdr:col>4</xdr:col>
      <xdr:colOff>681675</xdr:colOff>
      <xdr:row>9</xdr:row>
      <xdr:rowOff>12125</xdr:rowOff>
    </xdr:to>
    <xdr:grpSp>
      <xdr:nvGrpSpPr>
        <xdr:cNvPr id="4" name="Gruppieren 3">
          <a:extLst>
            <a:ext uri="{FF2B5EF4-FFF2-40B4-BE49-F238E27FC236}">
              <a16:creationId xmlns:a16="http://schemas.microsoft.com/office/drawing/2014/main" id="{00000000-0008-0000-0000-000004000000}"/>
            </a:ext>
          </a:extLst>
        </xdr:cNvPr>
        <xdr:cNvGrpSpPr/>
      </xdr:nvGrpSpPr>
      <xdr:grpSpPr>
        <a:xfrm>
          <a:off x="1285875" y="809625"/>
          <a:ext cx="2748600" cy="917000"/>
          <a:chOff x="9192575" y="476250"/>
          <a:chExt cx="2520000" cy="917000"/>
        </a:xfrm>
      </xdr:grpSpPr>
      <xdr:pic>
        <xdr:nvPicPr>
          <xdr:cNvPr id="5" name="ipt_rgb_modul">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192575" y="476250"/>
            <a:ext cx="2520000" cy="917000"/>
          </a:xfrm>
          <a:prstGeom prst="rect">
            <a:avLst/>
          </a:prstGeom>
        </xdr:spPr>
      </xdr:pic>
      <xdr:sp macro="" textlink="">
        <xdr:nvSpPr>
          <xdr:cNvPr id="6" name="Rechteck 5">
            <a:extLst>
              <a:ext uri="{FF2B5EF4-FFF2-40B4-BE49-F238E27FC236}">
                <a16:creationId xmlns:a16="http://schemas.microsoft.com/office/drawing/2014/main" id="{00000000-0008-0000-0000-000006000000}"/>
              </a:ext>
            </a:extLst>
          </xdr:cNvPr>
          <xdr:cNvSpPr/>
        </xdr:nvSpPr>
        <xdr:spPr>
          <a:xfrm>
            <a:off x="10871083" y="1101150"/>
            <a:ext cx="720803" cy="152400"/>
          </a:xfrm>
          <a:prstGeom prst="rect">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108000" tIns="108000" rIns="108000" bIns="108000" rtlCol="0" anchor="ct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180000" indent="-180000" algn="l">
              <a:lnSpc>
                <a:spcPts val="1960"/>
              </a:lnSpc>
              <a:buClr>
                <a:schemeClr val="accent1"/>
              </a:buClr>
              <a:buFont typeface="Wingdings" panose="05000000000000000000" pitchFamily="2" charset="2"/>
              <a:buChar char="§"/>
            </a:pPr>
            <a:endParaRPr lang="en-US" sz="1400">
              <a:solidFill>
                <a:schemeClr val="tx1"/>
              </a:solidFill>
            </a:endParaRPr>
          </a:p>
        </xdr:txBody>
      </xdr:sp>
    </xdr:grpSp>
    <xdr:clientData/>
  </xdr:twoCellAnchor>
  <xdr:twoCellAnchor>
    <xdr:from>
      <xdr:col>9</xdr:col>
      <xdr:colOff>771525</xdr:colOff>
      <xdr:row>22</xdr:row>
      <xdr:rowOff>120814</xdr:rowOff>
    </xdr:from>
    <xdr:to>
      <xdr:col>16</xdr:col>
      <xdr:colOff>361950</xdr:colOff>
      <xdr:row>30</xdr:row>
      <xdr:rowOff>954</xdr:rowOff>
    </xdr:to>
    <xdr:sp macro="" textlink="">
      <xdr:nvSpPr>
        <xdr:cNvPr id="15" name="Textplatzhalter 4">
          <a:extLst>
            <a:ext uri="{FF2B5EF4-FFF2-40B4-BE49-F238E27FC236}">
              <a16:creationId xmlns:a16="http://schemas.microsoft.com/office/drawing/2014/main" id="{00000000-0008-0000-0000-00000F000000}"/>
            </a:ext>
          </a:extLst>
        </xdr:cNvPr>
        <xdr:cNvSpPr>
          <a:spLocks noGrp="1"/>
        </xdr:cNvSpPr>
      </xdr:nvSpPr>
      <xdr:spPr bwMode="gray">
        <a:xfrm>
          <a:off x="8315325" y="4311814"/>
          <a:ext cx="5457825" cy="1404140"/>
        </a:xfrm>
        <a:prstGeom prst="rect">
          <a:avLst/>
        </a:prstGeom>
        <a:gradFill flip="none" rotWithShape="1">
          <a:gsLst>
            <a:gs pos="34000">
              <a:srgbClr val="00779A">
                <a:alpha val="80000"/>
              </a:srgbClr>
            </a:gs>
            <a:gs pos="0">
              <a:srgbClr val="014A6B">
                <a:alpha val="95000"/>
              </a:srgbClr>
            </a:gs>
            <a:gs pos="74000">
              <a:schemeClr val="accent5">
                <a:lumMod val="90000"/>
                <a:lumOff val="10000"/>
                <a:alpha val="80000"/>
              </a:schemeClr>
            </a:gs>
            <a:gs pos="100000">
              <a:srgbClr val="09B2AC">
                <a:alpha val="80000"/>
              </a:srgbClr>
            </a:gs>
          </a:gsLst>
          <a:path path="circle">
            <a:fillToRect r="100000" b="100000"/>
          </a:path>
          <a:tileRect l="-100000" t="-100000"/>
        </a:gradFill>
      </xdr:spPr>
      <xdr:txBody>
        <a:bodyPr vert="horz" wrap="square" lIns="486000" tIns="360000" rIns="360000" bIns="360000" rtlCol="0" anchor="b">
          <a:spAutoFit/>
        </a:bodyPr>
        <a:lstStyle>
          <a:lvl1pPr marL="0" indent="0" algn="l" defTabSz="914400" rtl="0" eaLnBrk="1" latinLnBrk="0" hangingPunct="1">
            <a:lnSpc>
              <a:spcPct val="110000"/>
            </a:lnSpc>
            <a:spcBef>
              <a:spcPts val="0"/>
            </a:spcBef>
            <a:spcAft>
              <a:spcPts val="0"/>
            </a:spcAft>
            <a:buFont typeface="Arial" panose="020B0604020202020204" pitchFamily="34" charset="0"/>
            <a:buNone/>
            <a:defRPr sz="1600" b="0" kern="1200">
              <a:solidFill>
                <a:schemeClr val="bg1"/>
              </a:solidFill>
              <a:latin typeface="+mj-lt"/>
              <a:ea typeface="+mn-ea"/>
              <a:cs typeface="+mn-cs"/>
            </a:defRPr>
          </a:lvl1pPr>
          <a:lvl2pPr marL="0" indent="0" algn="l" defTabSz="914400" rtl="0" eaLnBrk="1" latinLnBrk="0" hangingPunct="1">
            <a:lnSpc>
              <a:spcPts val="3200"/>
            </a:lnSpc>
            <a:spcBef>
              <a:spcPts val="0"/>
            </a:spcBef>
            <a:spcAft>
              <a:spcPts val="640"/>
            </a:spcAft>
            <a:buFont typeface="Arial" panose="020B0604020202020204" pitchFamily="34" charset="0"/>
            <a:buNone/>
            <a:defRPr sz="4160" b="0" kern="1200">
              <a:solidFill>
                <a:schemeClr val="bg1"/>
              </a:solidFill>
              <a:latin typeface="Frutiger LT Com 75 Black" panose="020B0A03040504030204" pitchFamily="34" charset="0"/>
              <a:ea typeface="+mn-ea"/>
              <a:cs typeface="+mn-cs"/>
            </a:defRPr>
          </a:lvl2pPr>
          <a:lvl3pPr marL="0" indent="0" algn="l" defTabSz="914400" rtl="0" eaLnBrk="1" latinLnBrk="0" hangingPunct="1">
            <a:lnSpc>
              <a:spcPct val="100000"/>
            </a:lnSpc>
            <a:spcBef>
              <a:spcPts val="0"/>
            </a:spcBef>
            <a:spcAft>
              <a:spcPts val="0"/>
            </a:spcAft>
            <a:buFont typeface="Arial" panose="020B0604020202020204" pitchFamily="34" charset="0"/>
            <a:buNone/>
            <a:defRPr sz="3200" b="0" kern="1200">
              <a:solidFill>
                <a:schemeClr val="bg1"/>
              </a:solidFill>
              <a:latin typeface="+mn-lt"/>
              <a:ea typeface="+mn-ea"/>
              <a:cs typeface="+mn-cs"/>
            </a:defRPr>
          </a:lvl3pPr>
          <a:lvl4pPr marL="0" indent="0" algn="l" defTabSz="914400" rtl="0" eaLnBrk="1" latinLnBrk="0" hangingPunct="1">
            <a:lnSpc>
              <a:spcPct val="110000"/>
            </a:lnSpc>
            <a:spcBef>
              <a:spcPts val="2080"/>
            </a:spcBef>
            <a:spcAft>
              <a:spcPts val="0"/>
            </a:spcAft>
            <a:buClr>
              <a:schemeClr val="accent1"/>
            </a:buClr>
            <a:buFont typeface="Wingdings" panose="05000000000000000000" pitchFamily="2" charset="2"/>
            <a:buNone/>
            <a:defRPr sz="1600" kern="1200">
              <a:solidFill>
                <a:schemeClr val="bg1"/>
              </a:solidFill>
              <a:latin typeface="+mn-lt"/>
              <a:ea typeface="+mn-ea"/>
              <a:cs typeface="+mn-cs"/>
            </a:defRPr>
          </a:lvl4pPr>
          <a:lvl5pPr marL="360000" indent="-180000" algn="l" defTabSz="914400" rtl="0" eaLnBrk="1" latinLnBrk="0" hangingPunct="1">
            <a:lnSpc>
              <a:spcPct val="110000"/>
            </a:lnSpc>
            <a:spcBef>
              <a:spcPts val="0"/>
            </a:spcBef>
            <a:spcAft>
              <a:spcPts val="0"/>
            </a:spcAft>
            <a:buClr>
              <a:schemeClr val="bg2"/>
            </a:buClr>
            <a:buFont typeface="Wingdings" panose="05000000000000000000" pitchFamily="2" charset="2"/>
            <a:buChar char="§"/>
            <a:defRPr sz="1400" kern="1200">
              <a:solidFill>
                <a:schemeClr val="tx1"/>
              </a:solidFill>
              <a:latin typeface="+mn-lt"/>
              <a:ea typeface="+mn-ea"/>
              <a:cs typeface="+mn-cs"/>
            </a:defRPr>
          </a:lvl5pPr>
          <a:lvl6pPr marL="540000" indent="-180000" algn="l" defTabSz="914400" rtl="0" eaLnBrk="1" latinLnBrk="0" hangingPunct="1">
            <a:lnSpc>
              <a:spcPct val="110000"/>
            </a:lnSpc>
            <a:spcBef>
              <a:spcPts val="0"/>
            </a:spcBef>
            <a:buClr>
              <a:schemeClr val="bg2"/>
            </a:buClr>
            <a:buFont typeface="Wingdings" panose="05000000000000000000" pitchFamily="2" charset="2"/>
            <a:buChar char="§"/>
            <a:defRPr sz="1400" kern="1200">
              <a:solidFill>
                <a:schemeClr val="tx1"/>
              </a:solidFill>
              <a:latin typeface="+mn-lt"/>
              <a:ea typeface="+mn-ea"/>
              <a:cs typeface="+mn-cs"/>
            </a:defRPr>
          </a:lvl6pPr>
          <a:lvl7pPr marL="216000" indent="-216000" algn="l" defTabSz="914400" rtl="0" eaLnBrk="1" latinLnBrk="0" hangingPunct="1">
            <a:lnSpc>
              <a:spcPct val="110000"/>
            </a:lnSpc>
            <a:spcBef>
              <a:spcPts val="0"/>
            </a:spcBef>
            <a:buClr>
              <a:schemeClr val="accent1"/>
            </a:buClr>
            <a:buFont typeface="+mj-lt"/>
            <a:buAutoNum type="arabicPeriod"/>
            <a:defRPr sz="1400" kern="1200">
              <a:solidFill>
                <a:schemeClr val="tx1"/>
              </a:solidFill>
              <a:latin typeface="+mn-lt"/>
              <a:ea typeface="+mn-ea"/>
              <a:cs typeface="+mn-cs"/>
            </a:defRPr>
          </a:lvl7pPr>
          <a:lvl8pPr marL="432000" indent="-216000" algn="l" defTabSz="914400" rtl="0" eaLnBrk="1" latinLnBrk="0" hangingPunct="1">
            <a:lnSpc>
              <a:spcPct val="110000"/>
            </a:lnSpc>
            <a:spcBef>
              <a:spcPts val="0"/>
            </a:spcBef>
            <a:buClr>
              <a:schemeClr val="bg2"/>
            </a:buClr>
            <a:buFont typeface="+mj-lt"/>
            <a:buAutoNum type="arabicPeriod"/>
            <a:defRPr sz="1400" kern="1200">
              <a:solidFill>
                <a:schemeClr val="tx1"/>
              </a:solidFill>
              <a:latin typeface="+mn-lt"/>
              <a:ea typeface="+mn-ea"/>
              <a:cs typeface="+mn-cs"/>
            </a:defRPr>
          </a:lvl8pPr>
          <a:lvl9pPr marL="648000" indent="-216000" algn="l" defTabSz="914400" rtl="0" eaLnBrk="1" latinLnBrk="0" hangingPunct="1">
            <a:lnSpc>
              <a:spcPct val="110000"/>
            </a:lnSpc>
            <a:spcBef>
              <a:spcPts val="0"/>
            </a:spcBef>
            <a:buClr>
              <a:schemeClr val="bg2"/>
            </a:buClr>
            <a:buFont typeface="+mj-lt"/>
            <a:buAutoNum type="arabicPeriod"/>
            <a:defRPr sz="1400" kern="1200">
              <a:solidFill>
                <a:schemeClr val="tx1"/>
              </a:solidFill>
              <a:latin typeface="+mn-lt"/>
              <a:ea typeface="+mn-ea"/>
              <a:cs typeface="+mn-cs"/>
            </a:defRPr>
          </a:lvl9pPr>
        </a:lstStyle>
        <a:p>
          <a:pPr lvl="2"/>
          <a:r>
            <a:rPr lang="de-DE" sz="2200" b="0">
              <a:solidFill>
                <a:prstClr val="white"/>
              </a:solidFill>
            </a:rPr>
            <a:t>Fraunhofer</a:t>
          </a:r>
          <a:r>
            <a:rPr lang="de-DE" sz="2200" b="1">
              <a:solidFill>
                <a:prstClr val="white"/>
              </a:solidFill>
            </a:rPr>
            <a:t> </a:t>
          </a:r>
          <a:r>
            <a:rPr lang="de-DE" sz="2200" b="0">
              <a:solidFill>
                <a:prstClr val="white"/>
              </a:solidFill>
            </a:rPr>
            <a:t>Sustainability</a:t>
          </a:r>
          <a:r>
            <a:rPr lang="de-DE" sz="2200" b="1" baseline="0">
              <a:solidFill>
                <a:prstClr val="white"/>
              </a:solidFill>
            </a:rPr>
            <a:t> </a:t>
          </a:r>
          <a:r>
            <a:rPr lang="de-DE" sz="2200" b="0" kern="1200">
              <a:solidFill>
                <a:schemeClr val="bg1"/>
              </a:solidFill>
              <a:effectLst/>
              <a:latin typeface="+mn-lt"/>
              <a:ea typeface="+mn-ea"/>
              <a:cs typeface="+mn-cs"/>
            </a:rPr>
            <a:t>Assessment</a:t>
          </a:r>
        </a:p>
        <a:p>
          <a:pPr lvl="2"/>
          <a:r>
            <a:rPr lang="de-DE" sz="2200" b="0" kern="1200">
              <a:solidFill>
                <a:schemeClr val="bg1"/>
              </a:solidFill>
              <a:effectLst/>
              <a:latin typeface="+mn-lt"/>
              <a:ea typeface="+mn-ea"/>
              <a:cs typeface="+mn-cs"/>
            </a:rPr>
            <a:t>Strategic LCA</a:t>
          </a:r>
          <a:r>
            <a:rPr lang="de-DE" sz="2200" b="0">
              <a:solidFill>
                <a:prstClr val="white"/>
              </a:solidFill>
            </a:rPr>
            <a:t> </a:t>
          </a:r>
          <a:endParaRPr lang="en-US" sz="2400" b="0"/>
        </a:p>
      </xdr:txBody>
    </xdr:sp>
    <xdr:clientData/>
  </xdr:twoCellAnchor>
  <mc:AlternateContent xmlns:mc="http://schemas.openxmlformats.org/markup-compatibility/2006">
    <mc:Choice xmlns:a14="http://schemas.microsoft.com/office/drawing/2010/main" Requires="a14">
      <xdr:twoCellAnchor>
        <xdr:from>
          <xdr:col>7</xdr:col>
          <xdr:colOff>749300</xdr:colOff>
          <xdr:row>62</xdr:row>
          <xdr:rowOff>0</xdr:rowOff>
        </xdr:from>
        <xdr:to>
          <xdr:col>10</xdr:col>
          <xdr:colOff>0</xdr:colOff>
          <xdr:row>63</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Next Step</a:t>
              </a:r>
            </a:p>
          </xdr:txBody>
        </xdr:sp>
        <xdr:clientData fPrintsWithSheet="0"/>
      </xdr:twoCellAnchor>
    </mc:Choice>
    <mc:Fallback/>
  </mc:AlternateContent>
  <xdr:twoCellAnchor>
    <xdr:from>
      <xdr:col>6</xdr:col>
      <xdr:colOff>447674</xdr:colOff>
      <xdr:row>11</xdr:row>
      <xdr:rowOff>9525</xdr:rowOff>
    </xdr:from>
    <xdr:to>
      <xdr:col>11</xdr:col>
      <xdr:colOff>809625</xdr:colOff>
      <xdr:row>19</xdr:row>
      <xdr:rowOff>161925</xdr:rowOff>
    </xdr:to>
    <xdr:sp macro="" textlink="">
      <xdr:nvSpPr>
        <xdr:cNvPr id="2" name="Rechteck 1">
          <a:extLst>
            <a:ext uri="{FF2B5EF4-FFF2-40B4-BE49-F238E27FC236}">
              <a16:creationId xmlns:a16="http://schemas.microsoft.com/office/drawing/2014/main" id="{00000000-0008-0000-0000-000002000000}"/>
            </a:ext>
          </a:extLst>
        </xdr:cNvPr>
        <xdr:cNvSpPr/>
      </xdr:nvSpPr>
      <xdr:spPr bwMode="auto">
        <a:xfrm>
          <a:off x="5476874" y="2105025"/>
          <a:ext cx="4552951" cy="1676400"/>
        </a:xfrm>
        <a:prstGeom prst="rect">
          <a:avLst/>
        </a:prstGeom>
        <a:solidFill>
          <a:schemeClr val="accent1"/>
        </a:solidFill>
        <a:ln>
          <a:noFill/>
        </a:ln>
        <a:effectLst/>
      </xdr:spPr>
      <xdr:txBody>
        <a:bodyPr wrap="square" rtlCol="0" anchor="ctr">
          <a:noAutofit/>
        </a:bodyPr>
        <a:lstStyle/>
        <a:p>
          <a:pPr algn="l"/>
          <a:r>
            <a:rPr lang="de-DE" sz="3600" dirty="0" err="1">
              <a:latin typeface="Frutiger LT Com 45 Light" panose="020B0303030504020204" pitchFamily="34" charset="0"/>
            </a:rPr>
            <a:t>Passwort</a:t>
          </a:r>
          <a:r>
            <a:rPr lang="de-DE" sz="3600" baseline="0" dirty="0" err="1">
              <a:latin typeface="Frutiger LT Com 45 Light" panose="020B0303030504020204" pitchFamily="34" charset="0"/>
            </a:rPr>
            <a:t>: Fraunhofer</a:t>
          </a:r>
          <a:endParaRPr lang="de-DE" sz="3600" dirty="0" err="1">
            <a:latin typeface="Frutiger LT Com 45 Light" panose="020B0303030504020204"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0</xdr:colOff>
          <xdr:row>56</xdr:row>
          <xdr:rowOff>0</xdr:rowOff>
        </xdr:from>
        <xdr:to>
          <xdr:col>14</xdr:col>
          <xdr:colOff>0</xdr:colOff>
          <xdr:row>57</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Include Scope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57</xdr:row>
          <xdr:rowOff>0</xdr:rowOff>
        </xdr:from>
        <xdr:to>
          <xdr:col>14</xdr:col>
          <xdr:colOff>0</xdr:colOff>
          <xdr:row>58</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Don't include Scope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66</xdr:row>
          <xdr:rowOff>0</xdr:rowOff>
        </xdr:from>
        <xdr:to>
          <xdr:col>10</xdr:col>
          <xdr:colOff>0</xdr:colOff>
          <xdr:row>67</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Restore all Categories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45</xdr:row>
      <xdr:rowOff>180975</xdr:rowOff>
    </xdr:from>
    <xdr:to>
      <xdr:col>8</xdr:col>
      <xdr:colOff>38100</xdr:colOff>
      <xdr:row>94</xdr:row>
      <xdr:rowOff>180975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876300" y="8915400"/>
          <a:ext cx="12525375" cy="9334500"/>
        </a:xfrm>
        <a:prstGeom prst="rect">
          <a:avLst/>
        </a:prstGeom>
        <a:ln>
          <a:solidFill>
            <a:sysClr val="windowText" lastClr="000000"/>
          </a:solidFill>
        </a:ln>
      </xdr:spPr>
    </xdr:pic>
    <xdr:clientData/>
  </xdr:twoCellAnchor>
  <xdr:twoCellAnchor>
    <xdr:from>
      <xdr:col>4</xdr:col>
      <xdr:colOff>1552575</xdr:colOff>
      <xdr:row>47</xdr:row>
      <xdr:rowOff>19050</xdr:rowOff>
    </xdr:from>
    <xdr:to>
      <xdr:col>6</xdr:col>
      <xdr:colOff>1019175</xdr:colOff>
      <xdr:row>51</xdr:row>
      <xdr:rowOff>76200</xdr:rowOff>
    </xdr:to>
    <xdr:sp macro="" textlink="">
      <xdr:nvSpPr>
        <xdr:cNvPr id="3" name="Rechteck 2">
          <a:extLst>
            <a:ext uri="{FF2B5EF4-FFF2-40B4-BE49-F238E27FC236}">
              <a16:creationId xmlns:a16="http://schemas.microsoft.com/office/drawing/2014/main" id="{00000000-0008-0000-0100-000003000000}"/>
            </a:ext>
          </a:extLst>
        </xdr:cNvPr>
        <xdr:cNvSpPr/>
      </xdr:nvSpPr>
      <xdr:spPr bwMode="auto">
        <a:xfrm>
          <a:off x="7772400" y="9134475"/>
          <a:ext cx="4038600" cy="819150"/>
        </a:xfrm>
        <a:prstGeom prst="rect">
          <a:avLst/>
        </a:prstGeom>
        <a:solidFill>
          <a:schemeClr val="bg1"/>
        </a:solidFill>
        <a:ln>
          <a:noFill/>
        </a:ln>
        <a:effectLst/>
      </xdr:spPr>
      <xdr:txBody>
        <a:bodyPr wrap="square" rtlCol="0" anchor="ctr">
          <a:noAutofit/>
        </a:bodyPr>
        <a:lstStyle/>
        <a:p>
          <a:pPr algn="l"/>
          <a:endParaRPr lang="de-DE" sz="1100" dirty="0" err="1">
            <a:latin typeface="Frutiger LT Com 45 Light" panose="020B0303030504020204" pitchFamily="34" charset="0"/>
          </a:endParaRPr>
        </a:p>
      </xdr:txBody>
    </xdr:sp>
    <xdr:clientData/>
  </xdr:twoCellAnchor>
  <xdr:twoCellAnchor>
    <xdr:from>
      <xdr:col>4</xdr:col>
      <xdr:colOff>1676400</xdr:colOff>
      <xdr:row>51</xdr:row>
      <xdr:rowOff>9525</xdr:rowOff>
    </xdr:from>
    <xdr:to>
      <xdr:col>5</xdr:col>
      <xdr:colOff>1981200</xdr:colOff>
      <xdr:row>53</xdr:row>
      <xdr:rowOff>9525</xdr:rowOff>
    </xdr:to>
    <xdr:sp macro="" textlink="">
      <xdr:nvSpPr>
        <xdr:cNvPr id="4" name="Rechteck 3">
          <a:extLst>
            <a:ext uri="{FF2B5EF4-FFF2-40B4-BE49-F238E27FC236}">
              <a16:creationId xmlns:a16="http://schemas.microsoft.com/office/drawing/2014/main" id="{00000000-0008-0000-0100-000004000000}"/>
            </a:ext>
          </a:extLst>
        </xdr:cNvPr>
        <xdr:cNvSpPr/>
      </xdr:nvSpPr>
      <xdr:spPr bwMode="auto">
        <a:xfrm>
          <a:off x="7896225" y="9886950"/>
          <a:ext cx="2667000" cy="381000"/>
        </a:xfrm>
        <a:prstGeom prst="rect">
          <a:avLst/>
        </a:prstGeom>
        <a:solidFill>
          <a:schemeClr val="bg1"/>
        </a:solidFill>
        <a:ln>
          <a:noFill/>
        </a:ln>
        <a:effectLst/>
      </xdr:spPr>
      <xdr:txBody>
        <a:bodyPr wrap="square" rtlCol="0" anchor="ctr">
          <a:noAutofit/>
        </a:bodyPr>
        <a:lstStyle/>
        <a:p>
          <a:pPr algn="l"/>
          <a:endParaRPr lang="de-DE" sz="1100" dirty="0" err="1">
            <a:latin typeface="Frutiger LT Com 45 Light" panose="020B0303030504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63500</xdr:colOff>
          <xdr:row>12</xdr:row>
          <xdr:rowOff>63500</xdr:rowOff>
        </xdr:to>
        <xdr:sp macro="" textlink="">
          <xdr:nvSpPr>
            <xdr:cNvPr id="13314" name="TempCombo"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2</xdr:row>
          <xdr:rowOff>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2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'Company owned Transport'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63500</xdr:colOff>
          <xdr:row>13</xdr:row>
          <xdr:rowOff>63500</xdr:rowOff>
        </xdr:to>
        <xdr:sp macro="" textlink="">
          <xdr:nvSpPr>
            <xdr:cNvPr id="18434" name="TempCombo"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'External Transportation'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63500</xdr:colOff>
          <xdr:row>13</xdr:row>
          <xdr:rowOff>63500</xdr:rowOff>
        </xdr:to>
        <xdr:sp macro="" textlink="">
          <xdr:nvSpPr>
            <xdr:cNvPr id="19458" name="TempCombo"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2</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'Business Travel'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63500</xdr:colOff>
          <xdr:row>12</xdr:row>
          <xdr:rowOff>63500</xdr:rowOff>
        </xdr:to>
        <xdr:sp macro="" textlink="">
          <xdr:nvSpPr>
            <xdr:cNvPr id="20482" name="TempCombo" hidden="1">
              <a:extLst>
                <a:ext uri="{63B3BB69-23CF-44E3-9099-C40C66FF867C}">
                  <a14:compatExt spid="_x0000_s20482"/>
                </a:ext>
                <a:ext uri="{FF2B5EF4-FFF2-40B4-BE49-F238E27FC236}">
                  <a16:creationId xmlns:a16="http://schemas.microsoft.com/office/drawing/2014/main" id="{00000000-0008-0000-05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2</xdr:row>
          <xdr:rowOff>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'Stationary Combustion'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14</xdr:row>
          <xdr:rowOff>0</xdr:rowOff>
        </xdr:from>
        <xdr:to>
          <xdr:col>13</xdr:col>
          <xdr:colOff>63500</xdr:colOff>
          <xdr:row>15</xdr:row>
          <xdr:rowOff>63500</xdr:rowOff>
        </xdr:to>
        <xdr:sp macro="" textlink="">
          <xdr:nvSpPr>
            <xdr:cNvPr id="21507" name="TempCombo"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14</xdr:col>
          <xdr:colOff>0</xdr:colOff>
          <xdr:row>2</xdr:row>
          <xdr:rowOff>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6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'Purchased Gases &amp; Refrigerants'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63500</xdr:colOff>
          <xdr:row>25</xdr:row>
          <xdr:rowOff>63500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2</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700-000004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'Raw Material Usage'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63500</xdr:colOff>
          <xdr:row>18</xdr:row>
          <xdr:rowOff>63500</xdr:rowOff>
        </xdr:to>
        <xdr:sp macro="" textlink="">
          <xdr:nvSpPr>
            <xdr:cNvPr id="15363" name="TempCombo"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2</xdr:row>
          <xdr:rowOff>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Frutiger LT Com 45 Light"/>
                </a:rPr>
                <a:t>Skip 'Waste Disposal'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862012</xdr:colOff>
      <xdr:row>76</xdr:row>
      <xdr:rowOff>76200</xdr:rowOff>
    </xdr:from>
    <xdr:to>
      <xdr:col>3</xdr:col>
      <xdr:colOff>71437</xdr:colOff>
      <xdr:row>90</xdr:row>
      <xdr:rowOff>152400</xdr:rowOff>
    </xdr:to>
    <xdr:graphicFrame macro="">
      <xdr:nvGraphicFramePr>
        <xdr:cNvPr id="2" name="Diagramm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433387</xdr:colOff>
      <xdr:row>76</xdr:row>
      <xdr:rowOff>76200</xdr:rowOff>
    </xdr:from>
    <xdr:to>
      <xdr:col>7</xdr:col>
      <xdr:colOff>1519237</xdr:colOff>
      <xdr:row>90</xdr:row>
      <xdr:rowOff>152400</xdr:rowOff>
    </xdr:to>
    <xdr:graphicFrame macro="">
      <xdr:nvGraphicFramePr>
        <xdr:cNvPr id="3" name="Diagramm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1871662</xdr:colOff>
      <xdr:row>76</xdr:row>
      <xdr:rowOff>85725</xdr:rowOff>
    </xdr:from>
    <xdr:to>
      <xdr:col>10</xdr:col>
      <xdr:colOff>1338262</xdr:colOff>
      <xdr:row>90</xdr:row>
      <xdr:rowOff>161925</xdr:rowOff>
    </xdr:to>
    <xdr:graphicFrame macro="">
      <xdr:nvGraphicFramePr>
        <xdr:cNvPr id="4" name="Diagramm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1766887</xdr:colOff>
      <xdr:row>76</xdr:row>
      <xdr:rowOff>114300</xdr:rowOff>
    </xdr:from>
    <xdr:to>
      <xdr:col>15</xdr:col>
      <xdr:colOff>119062</xdr:colOff>
      <xdr:row>91</xdr:row>
      <xdr:rowOff>0</xdr:rowOff>
    </xdr:to>
    <xdr:graphicFrame macro="">
      <xdr:nvGraphicFramePr>
        <xdr:cNvPr id="5" name="Diagramm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33337</xdr:colOff>
      <xdr:row>76</xdr:row>
      <xdr:rowOff>76200</xdr:rowOff>
    </xdr:from>
    <xdr:to>
      <xdr:col>3</xdr:col>
      <xdr:colOff>109537</xdr:colOff>
      <xdr:row>90</xdr:row>
      <xdr:rowOff>152400</xdr:rowOff>
    </xdr:to>
    <xdr:graphicFrame macro="">
      <xdr:nvGraphicFramePr>
        <xdr:cNvPr id="6" name="Diagramm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471487</xdr:colOff>
      <xdr:row>76</xdr:row>
      <xdr:rowOff>76200</xdr:rowOff>
    </xdr:from>
    <xdr:to>
      <xdr:col>7</xdr:col>
      <xdr:colOff>1557337</xdr:colOff>
      <xdr:row>90</xdr:row>
      <xdr:rowOff>152400</xdr:rowOff>
    </xdr:to>
    <xdr:graphicFrame macro="">
      <xdr:nvGraphicFramePr>
        <xdr:cNvPr id="7" name="Diagramm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1909762</xdr:colOff>
      <xdr:row>76</xdr:row>
      <xdr:rowOff>85725</xdr:rowOff>
    </xdr:from>
    <xdr:to>
      <xdr:col>10</xdr:col>
      <xdr:colOff>1376362</xdr:colOff>
      <xdr:row>90</xdr:row>
      <xdr:rowOff>161925</xdr:rowOff>
    </xdr:to>
    <xdr:graphicFrame macro="">
      <xdr:nvGraphicFramePr>
        <xdr:cNvPr id="8" name="Diagramm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fraunhofer.sharepoint.com/sites/PACTSustainabilityMaturityIndex/Freigegebene%20Dokumente/General/Working%20Documents/03_Methodolgy/03_LCA%20Approach/simplified%20organizational%20footprint/EPA_calculator_tool.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ference"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Mapp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Boundary Questions"/>
      <sheetName val="Summary"/>
      <sheetName val="Stationary Combustion"/>
      <sheetName val="Mobile Sources"/>
      <sheetName val="Refrigeration and AC"/>
      <sheetName val="Fire Suppression"/>
      <sheetName val="Purchased Gases"/>
      <sheetName val="Electricity"/>
      <sheetName val="Steam"/>
      <sheetName val="Business Travel"/>
      <sheetName val="Commuting"/>
      <sheetName val="Upstream Trans and Dist"/>
      <sheetName val="Waste"/>
      <sheetName val="Offsets"/>
      <sheetName val="Heat Content"/>
      <sheetName val="Emission Factors"/>
      <sheetName val="DropDown"/>
      <sheetName val="Help - Data Management"/>
      <sheetName val="Help - Stationary Combustion"/>
      <sheetName val="Help - Mobile Sources"/>
      <sheetName val="Help - Refrigeration and AC"/>
      <sheetName val="Help - Fire Suppression"/>
      <sheetName val="Help - Purchased Gases"/>
      <sheetName val="Help - Electricity"/>
      <sheetName val="Help - Market-Based Method"/>
      <sheetName val="Help - Steam"/>
      <sheetName val="Help - Business Travel"/>
      <sheetName val="Help - Commuting"/>
      <sheetName val="Help - Upstream Trans and Dist"/>
      <sheetName val="Help - Waste"/>
      <sheetName val="Help - Offs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s>
    <sheetDataSet>
      <sheetData sheetId="0"/>
    </sheetDataSet>
  </externalBook>
</externalLink>
</file>

<file path=xl/theme/theme1.xml><?xml version="1.0" encoding="utf-8"?>
<a:theme xmlns:a="http://schemas.openxmlformats.org/drawingml/2006/main" name="201201_IPT_Design1">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190410_FraunhoferIPT">
      <a:majorFont>
        <a:latin typeface="Frutiger LT Com 45 Light"/>
        <a:ea typeface=""/>
        <a:cs typeface=""/>
      </a:majorFont>
      <a:minorFont>
        <a:latin typeface="Frutiger LT Com 45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chemeClr val="accent1"/>
        </a:solidFill>
        <a:ln>
          <a:noFill/>
        </a:ln>
        <a:effectLst/>
      </a:spPr>
      <a:bodyPr wrap="square" rtlCol="0" anchor="ctr">
        <a:noAutofit/>
      </a:bodyPr>
      <a:lstStyle>
        <a:defPPr algn="l">
          <a:defRPr dirty="0" err="1" smtClean="0">
            <a:latin typeface="Frutiger LT Com 45 Light" panose="020B0303030504020204" pitchFamily="34" charset="0"/>
          </a:defRPr>
        </a:defPPr>
      </a:lstStyle>
    </a:spDef>
    <a:lnDef>
      <a:spPr bwMode="auto">
        <a:noFill/>
        <a:ln w="9525" cap="flat" cmpd="sng" algn="ctr">
          <a:solidFill>
            <a:schemeClr val="tx2"/>
          </a:solidFill>
          <a:prstDash val="solid"/>
          <a:round/>
          <a:headEnd type="none" w="med" len="med"/>
          <a:tailEnd type="none" w="med" len="me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a:spPr>
      <a:bodyPr/>
      <a:lstStyle/>
    </a:lnDef>
    <a:txDef>
      <a:spPr>
        <a:noFill/>
      </a:spPr>
      <a:bodyPr wrap="square" rtlCol="0">
        <a:spAutoFit/>
      </a:bodyPr>
      <a:lstStyle>
        <a:defPPr algn="l">
          <a:defRPr dirty="0" err="1" smtClean="0">
            <a:latin typeface="Frutiger LT Com 45 Light" panose="020B0303030504020204" pitchFamily="34" charset="0"/>
          </a:defRPr>
        </a:defPPr>
      </a:lstStyle>
    </a:txDef>
  </a:objectDefaults>
  <a:extraClrSchemeLst>
    <a:extraClrScheme>
      <a:clrScheme name="Bullets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Bullets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Bullets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Bullets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Bullets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Bullets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Bullets 7">
        <a:dk1>
          <a:srgbClr val="5C1F00"/>
        </a:dk1>
        <a:lt1>
          <a:srgbClr val="FFFFFF"/>
        </a:lt1>
        <a:dk2>
          <a:srgbClr val="800000"/>
        </a:dk2>
        <a:lt2>
          <a:srgbClr val="DFD293"/>
        </a:lt2>
        <a:accent1>
          <a:srgbClr val="CC3300"/>
        </a:accent1>
        <a:accent2>
          <a:srgbClr val="BE7960"/>
        </a:accent2>
        <a:accent3>
          <a:srgbClr val="C0AAAA"/>
        </a:accent3>
        <a:accent4>
          <a:srgbClr val="DADADA"/>
        </a:accent4>
        <a:accent5>
          <a:srgbClr val="E2ADAA"/>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Bullets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Bullets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Bullets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Bullets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Bullets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
      <a:clrScheme name="Bullets 13">
        <a:dk1>
          <a:srgbClr val="000000"/>
        </a:dk1>
        <a:lt1>
          <a:srgbClr val="FFFFFF"/>
        </a:lt1>
        <a:dk2>
          <a:srgbClr val="000000"/>
        </a:dk2>
        <a:lt2>
          <a:srgbClr val="A8AFAF"/>
        </a:lt2>
        <a:accent1>
          <a:srgbClr val="009475"/>
        </a:accent1>
        <a:accent2>
          <a:srgbClr val="333399"/>
        </a:accent2>
        <a:accent3>
          <a:srgbClr val="FFFFFF"/>
        </a:accent3>
        <a:accent4>
          <a:srgbClr val="000000"/>
        </a:accent4>
        <a:accent5>
          <a:srgbClr val="AAC8BD"/>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Bullets 14">
        <a:dk1>
          <a:srgbClr val="000000"/>
        </a:dk1>
        <a:lt1>
          <a:srgbClr val="FFFFFF"/>
        </a:lt1>
        <a:dk2>
          <a:srgbClr val="000000"/>
        </a:dk2>
        <a:lt2>
          <a:srgbClr val="A8AFAF"/>
        </a:lt2>
        <a:accent1>
          <a:srgbClr val="009475"/>
        </a:accent1>
        <a:accent2>
          <a:srgbClr val="009475"/>
        </a:accent2>
        <a:accent3>
          <a:srgbClr val="FFFFFF"/>
        </a:accent3>
        <a:accent4>
          <a:srgbClr val="000000"/>
        </a:accent4>
        <a:accent5>
          <a:srgbClr val="AAC8BD"/>
        </a:accent5>
        <a:accent6>
          <a:srgbClr val="008669"/>
        </a:accent6>
        <a:hlink>
          <a:srgbClr val="009475"/>
        </a:hlink>
        <a:folHlink>
          <a:srgbClr val="009475"/>
        </a:folHlink>
      </a:clrScheme>
      <a:clrMap bg1="lt1" tx1="dk1" bg2="lt2" tx2="dk2" accent1="accent1" accent2="accent2" accent3="accent3" accent4="accent4" accent5="accent5" accent6="accent6" hlink="hlink" folHlink="folHlink"/>
    </a:extraClrScheme>
    <a:extraClrScheme>
      <a:clrScheme name="Bullets 15">
        <a:dk1>
          <a:srgbClr val="000000"/>
        </a:dk1>
        <a:lt1>
          <a:srgbClr val="FFFFFF"/>
        </a:lt1>
        <a:dk2>
          <a:srgbClr val="009475"/>
        </a:dk2>
        <a:lt2>
          <a:srgbClr val="A8AFAF"/>
        </a:lt2>
        <a:accent1>
          <a:srgbClr val="25BAE2"/>
        </a:accent1>
        <a:accent2>
          <a:srgbClr val="006E92"/>
        </a:accent2>
        <a:accent3>
          <a:srgbClr val="FFFFFF"/>
        </a:accent3>
        <a:accent4>
          <a:srgbClr val="000000"/>
        </a:accent4>
        <a:accent5>
          <a:srgbClr val="ACD9EE"/>
        </a:accent5>
        <a:accent6>
          <a:srgbClr val="006384"/>
        </a:accent6>
        <a:hlink>
          <a:srgbClr val="4C636F"/>
        </a:hlink>
        <a:folHlink>
          <a:srgbClr val="9E1C22"/>
        </a:folHlink>
      </a:clrScheme>
      <a:clrMap bg1="lt1" tx1="dk1" bg2="lt2" tx2="dk2" accent1="accent1" accent2="accent2" accent3="accent3" accent4="accent4" accent5="accent5" accent6="accent6" hlink="hlink" folHlink="folHlink"/>
    </a:extraClrScheme>
    <a:extraClrScheme>
      <a:clrScheme name="Bullets 16">
        <a:dk1>
          <a:srgbClr val="000000"/>
        </a:dk1>
        <a:lt1>
          <a:srgbClr val="FFFFFF"/>
        </a:lt1>
        <a:dk2>
          <a:srgbClr val="009475"/>
        </a:dk2>
        <a:lt2>
          <a:srgbClr val="25BAE2"/>
        </a:lt2>
        <a:accent1>
          <a:srgbClr val="009475"/>
        </a:accent1>
        <a:accent2>
          <a:srgbClr val="006E92"/>
        </a:accent2>
        <a:accent3>
          <a:srgbClr val="FFFFFF"/>
        </a:accent3>
        <a:accent4>
          <a:srgbClr val="000000"/>
        </a:accent4>
        <a:accent5>
          <a:srgbClr val="AAC8BD"/>
        </a:accent5>
        <a:accent6>
          <a:srgbClr val="006384"/>
        </a:accent6>
        <a:hlink>
          <a:srgbClr val="4C636F"/>
        </a:hlink>
        <a:folHlink>
          <a:srgbClr val="9E1C22"/>
        </a:folHlink>
      </a:clrScheme>
      <a:clrMap bg1="lt1" tx1="dk1" bg2="lt2" tx2="dk2" accent1="accent1" accent2="accent2" accent3="accent3" accent4="accent4" accent5="accent5" accent6="accent6" hlink="hlink" folHlink="folHlink"/>
    </a:extraClrScheme>
  </a:extraClrSchemeLst>
  <a:extLst>
    <a:ext uri="{05A4C25C-085E-4340-85A3-A5531E510DB2}">
      <thm15:themeFamily xmlns:thm15="http://schemas.microsoft.com/office/thememl/2012/main" name="201201_IPT_Design1" id="{369CB9DC-709F-40F7-A317-822EE72421AE}" vid="{8F2AC630-A82B-4C73-8D6E-8C9F67EEF7D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F7FC5-18F5-486D-ABFE-66D45CA96DE0}">
  <sheetPr codeName="Tabelle1">
    <tabColor theme="4"/>
  </sheetPr>
  <dimension ref="A1:R81"/>
  <sheetViews>
    <sheetView topLeftCell="A17" zoomScaleNormal="100" workbookViewId="0">
      <selection activeCell="A82" sqref="A82:XFD82"/>
    </sheetView>
  </sheetViews>
  <sheetFormatPr baseColWidth="10" defaultColWidth="0" defaultRowHeight="15" zeroHeight="1"/>
  <cols>
    <col min="1" max="17" width="11" customWidth="1"/>
    <col min="18" max="18" width="23.83203125" customWidth="1"/>
    <col min="19" max="19" width="35.83203125" customWidth="1"/>
    <col min="20" max="22" width="11.83203125" customWidth="1"/>
    <col min="23" max="23" width="10" hidden="1"/>
    <col min="24" max="24" width="35.83203125" customWidth="1"/>
    <col min="25" max="25" width="11.83203125" customWidth="1"/>
    <col min="26" max="35" width="10" hidden="1"/>
    <col min="36" max="36" width="23.83203125" customWidth="1"/>
    <col min="37" max="37" width="35.83203125" customWidth="1"/>
    <col min="38" max="38" width="11.83203125" customWidth="1"/>
    <col min="39" max="39" width="35.83203125" customWidth="1"/>
    <col min="40" max="40" width="11.83203125" customWidth="1"/>
    <col min="41" max="41" width="23.83203125" customWidth="1"/>
    <col min="42" max="42" width="35.83203125" customWidth="1"/>
    <col min="43" max="43" width="11.83203125" customWidth="1"/>
    <col min="44" max="44" width="35.83203125" customWidth="1"/>
    <col min="45" max="45" width="11.83203125" customWidth="1"/>
    <col min="46" max="16384" width="10" hidden="1"/>
  </cols>
  <sheetData>
    <row r="1" spans="1:18">
      <c r="A1" s="144"/>
      <c r="B1" s="144"/>
      <c r="C1" s="144"/>
      <c r="D1" s="144"/>
      <c r="E1" s="144"/>
      <c r="F1" s="144"/>
      <c r="G1" s="144"/>
      <c r="H1" s="144"/>
      <c r="I1" s="144"/>
      <c r="J1" s="144"/>
      <c r="K1" s="144"/>
      <c r="L1" s="144"/>
      <c r="M1" s="144"/>
      <c r="N1" s="144"/>
      <c r="O1" s="144"/>
      <c r="P1" s="144"/>
      <c r="Q1" s="144"/>
      <c r="R1" s="144"/>
    </row>
    <row r="2" spans="1:18">
      <c r="A2" s="144"/>
      <c r="B2" s="144"/>
      <c r="C2" s="144"/>
      <c r="D2" s="144"/>
      <c r="E2" s="144"/>
      <c r="F2" s="144"/>
      <c r="G2" s="144"/>
      <c r="H2" s="144"/>
      <c r="I2" s="144"/>
      <c r="J2" s="144"/>
      <c r="K2" s="144"/>
      <c r="L2" s="144"/>
      <c r="M2" s="144"/>
      <c r="N2" s="144"/>
      <c r="O2" s="144"/>
      <c r="P2" s="144"/>
      <c r="Q2" s="144"/>
      <c r="R2" s="144"/>
    </row>
    <row r="3" spans="1:18">
      <c r="A3" s="144"/>
      <c r="B3" s="144"/>
      <c r="C3" s="144"/>
      <c r="D3" s="144"/>
      <c r="E3" s="144"/>
      <c r="F3" s="144"/>
      <c r="G3" s="144"/>
      <c r="H3" s="144"/>
      <c r="I3" s="144"/>
      <c r="J3" s="144"/>
      <c r="K3" s="144"/>
      <c r="L3" s="144"/>
      <c r="M3" s="144"/>
      <c r="N3" s="144"/>
      <c r="O3" s="144"/>
      <c r="P3" s="144"/>
      <c r="Q3" s="144"/>
      <c r="R3" s="144"/>
    </row>
    <row r="4" spans="1:18">
      <c r="A4" s="144"/>
      <c r="B4" s="144"/>
      <c r="C4" s="144"/>
      <c r="D4" s="144"/>
      <c r="E4" s="144"/>
      <c r="F4" s="144"/>
      <c r="G4" s="144"/>
      <c r="H4" s="144"/>
      <c r="I4" s="144"/>
      <c r="J4" s="144"/>
      <c r="K4" s="144"/>
      <c r="L4" s="144"/>
      <c r="M4" s="144"/>
      <c r="N4" s="144"/>
      <c r="O4" s="144"/>
      <c r="P4" s="144"/>
      <c r="Q4" s="144"/>
      <c r="R4" s="144"/>
    </row>
    <row r="5" spans="1:18">
      <c r="A5" s="144"/>
      <c r="B5" s="144"/>
      <c r="C5" s="144"/>
      <c r="D5" s="144"/>
      <c r="E5" s="144"/>
      <c r="F5" s="144"/>
      <c r="G5" s="144"/>
      <c r="H5" s="144"/>
      <c r="I5" s="144"/>
      <c r="J5" s="144"/>
      <c r="K5" s="144"/>
      <c r="L5" s="144"/>
      <c r="M5" s="144"/>
      <c r="N5" s="144"/>
      <c r="O5" s="144"/>
      <c r="P5" s="144"/>
      <c r="Q5" s="144"/>
      <c r="R5" s="144"/>
    </row>
    <row r="6" spans="1:18">
      <c r="A6" s="144"/>
      <c r="B6" s="144"/>
      <c r="C6" s="144"/>
      <c r="D6" s="144"/>
      <c r="E6" s="144"/>
      <c r="F6" s="144"/>
      <c r="G6" s="144"/>
      <c r="H6" s="144"/>
      <c r="I6" s="144"/>
      <c r="J6" s="144"/>
      <c r="K6" s="144"/>
      <c r="L6" s="144"/>
      <c r="M6" s="144"/>
      <c r="N6" s="144"/>
      <c r="O6" s="144"/>
      <c r="P6" s="144"/>
      <c r="Q6" s="144"/>
      <c r="R6" s="144"/>
    </row>
    <row r="7" spans="1:18">
      <c r="A7" s="144"/>
      <c r="B7" s="144"/>
      <c r="C7" s="144"/>
      <c r="D7" s="144"/>
      <c r="E7" s="144"/>
      <c r="F7" s="144"/>
      <c r="G7" s="144"/>
      <c r="H7" s="144"/>
      <c r="I7" s="144"/>
      <c r="J7" s="144"/>
      <c r="K7" s="144"/>
      <c r="L7" s="144"/>
      <c r="M7" s="144"/>
      <c r="N7" s="144"/>
      <c r="O7" s="144"/>
      <c r="P7" s="144"/>
      <c r="Q7" s="144"/>
      <c r="R7" s="144"/>
    </row>
    <row r="8" spans="1:18">
      <c r="A8" s="144"/>
      <c r="B8" s="144"/>
      <c r="C8" s="144"/>
      <c r="D8" s="144"/>
      <c r="E8" s="144"/>
      <c r="F8" s="144"/>
      <c r="G8" s="144"/>
      <c r="H8" s="144"/>
      <c r="I8" s="144"/>
      <c r="J8" s="144"/>
      <c r="K8" s="144"/>
      <c r="L8" s="144"/>
      <c r="M8" s="144"/>
      <c r="N8" s="144"/>
      <c r="O8" s="144"/>
      <c r="P8" s="144"/>
      <c r="Q8" s="144"/>
      <c r="R8" s="144"/>
    </row>
    <row r="9" spans="1:18">
      <c r="A9" s="144"/>
      <c r="B9" s="144"/>
      <c r="C9" s="144"/>
      <c r="D9" s="144"/>
      <c r="E9" s="144"/>
      <c r="F9" s="144"/>
      <c r="G9" s="144"/>
      <c r="H9" s="144"/>
      <c r="I9" s="144"/>
      <c r="J9" s="144"/>
      <c r="K9" s="144"/>
      <c r="L9" s="144"/>
      <c r="M9" s="144"/>
      <c r="N9" s="144"/>
      <c r="O9" s="144"/>
      <c r="P9" s="144"/>
      <c r="Q9" s="144"/>
      <c r="R9" s="144"/>
    </row>
    <row r="10" spans="1:18">
      <c r="A10" s="144"/>
      <c r="B10" s="144"/>
      <c r="C10" s="144"/>
      <c r="D10" s="144"/>
      <c r="E10" s="144"/>
      <c r="F10" s="144"/>
      <c r="G10" s="144"/>
      <c r="H10" s="144"/>
      <c r="I10" s="144"/>
      <c r="J10" s="144"/>
      <c r="K10" s="144"/>
      <c r="L10" s="144"/>
      <c r="M10" s="144"/>
      <c r="N10" s="144"/>
      <c r="O10" s="144"/>
      <c r="P10" s="144"/>
      <c r="Q10" s="144"/>
      <c r="R10" s="144"/>
    </row>
    <row r="11" spans="1:18" ht="15.5" customHeight="1">
      <c r="A11" s="144"/>
      <c r="B11" s="144"/>
      <c r="C11" s="144"/>
      <c r="D11" s="144"/>
      <c r="E11" s="144"/>
      <c r="F11" s="144"/>
      <c r="G11" s="144"/>
      <c r="H11" s="144"/>
      <c r="I11" s="144"/>
      <c r="J11" s="144"/>
      <c r="K11" s="144"/>
      <c r="L11" s="144"/>
      <c r="M11" s="144"/>
      <c r="N11" s="144"/>
      <c r="O11" s="144"/>
      <c r="P11" s="144"/>
      <c r="Q11" s="144"/>
      <c r="R11" s="144"/>
    </row>
    <row r="12" spans="1:18" ht="15.5" customHeight="1">
      <c r="A12" s="144"/>
      <c r="B12" s="144"/>
      <c r="C12" s="144"/>
      <c r="D12" s="144"/>
      <c r="E12" s="144"/>
      <c r="F12" s="144"/>
      <c r="G12" s="144"/>
      <c r="H12" s="144"/>
      <c r="I12" s="144"/>
      <c r="J12" s="144"/>
      <c r="K12" s="144"/>
      <c r="L12" s="144"/>
      <c r="M12" s="144"/>
      <c r="N12" s="144"/>
      <c r="O12" s="144"/>
      <c r="P12" s="144"/>
      <c r="Q12" s="144"/>
      <c r="R12" s="144"/>
    </row>
    <row r="13" spans="1:18" ht="15.5" customHeight="1">
      <c r="A13" s="144"/>
      <c r="B13" s="144"/>
      <c r="C13" s="144"/>
      <c r="D13" s="144"/>
      <c r="E13" s="144"/>
      <c r="F13" s="144"/>
      <c r="G13" s="144"/>
      <c r="H13" s="144"/>
      <c r="I13" s="144"/>
      <c r="J13" s="144"/>
      <c r="K13" s="144"/>
      <c r="L13" s="144"/>
      <c r="M13" s="144"/>
      <c r="N13" s="144"/>
      <c r="O13" s="144"/>
      <c r="P13" s="144"/>
      <c r="Q13" s="144"/>
      <c r="R13" s="144"/>
    </row>
    <row r="14" spans="1:18" ht="15.5" customHeight="1">
      <c r="A14" s="144"/>
      <c r="B14" s="144"/>
      <c r="C14" s="144"/>
      <c r="D14" s="144"/>
      <c r="E14" s="144"/>
      <c r="F14" s="144"/>
      <c r="G14" s="144"/>
      <c r="H14" s="144"/>
      <c r="I14" s="144"/>
      <c r="J14" s="144"/>
      <c r="K14" s="144"/>
      <c r="L14" s="144"/>
      <c r="M14" s="144"/>
      <c r="N14" s="144"/>
      <c r="O14" s="144"/>
      <c r="P14" s="144"/>
      <c r="Q14" s="144"/>
      <c r="R14" s="144"/>
    </row>
    <row r="15" spans="1:18" ht="15.5" customHeight="1">
      <c r="A15" s="144"/>
      <c r="B15" s="144"/>
      <c r="C15" s="144"/>
      <c r="D15" s="144"/>
      <c r="E15" s="144"/>
      <c r="F15" s="144"/>
      <c r="G15" s="144"/>
      <c r="H15" s="144"/>
      <c r="I15" s="144"/>
      <c r="J15" s="144"/>
      <c r="K15" s="144"/>
      <c r="L15" s="144"/>
      <c r="M15" s="144"/>
      <c r="N15" s="144"/>
      <c r="O15" s="144"/>
      <c r="P15" s="144"/>
      <c r="Q15" s="144"/>
      <c r="R15" s="144"/>
    </row>
    <row r="16" spans="1:18" ht="15.5" customHeight="1">
      <c r="A16" s="144"/>
      <c r="B16" s="144"/>
      <c r="C16" s="144"/>
      <c r="D16" s="144"/>
      <c r="E16" s="144"/>
      <c r="F16" s="144"/>
      <c r="G16" s="144"/>
      <c r="H16" s="144"/>
      <c r="I16" s="144"/>
      <c r="J16" s="144"/>
      <c r="K16" s="144"/>
      <c r="L16" s="144"/>
      <c r="M16" s="144"/>
      <c r="N16" s="144"/>
      <c r="O16" s="144"/>
      <c r="P16" s="144"/>
      <c r="Q16" s="144"/>
      <c r="R16" s="144"/>
    </row>
    <row r="17" spans="1:18">
      <c r="A17" s="144"/>
      <c r="B17" s="144"/>
      <c r="C17" s="144"/>
      <c r="D17" s="144"/>
      <c r="E17" s="144"/>
      <c r="F17" s="144"/>
      <c r="G17" s="144"/>
      <c r="H17" s="144"/>
      <c r="I17" s="144"/>
      <c r="J17" s="144"/>
      <c r="K17" s="144"/>
      <c r="L17" s="144"/>
      <c r="M17" s="144"/>
      <c r="N17" s="144"/>
      <c r="O17" s="144"/>
      <c r="P17" s="144"/>
      <c r="Q17" s="144"/>
      <c r="R17" s="144"/>
    </row>
    <row r="18" spans="1:18">
      <c r="A18" s="144"/>
      <c r="B18" s="144"/>
      <c r="C18" s="144"/>
      <c r="D18" s="144"/>
      <c r="E18" s="144"/>
      <c r="F18" s="144"/>
      <c r="G18" s="144"/>
      <c r="H18" s="144"/>
      <c r="I18" s="144"/>
      <c r="J18" s="144"/>
      <c r="K18" s="144"/>
      <c r="L18" s="144"/>
      <c r="M18" s="144"/>
      <c r="N18" s="144"/>
      <c r="O18" s="144"/>
      <c r="P18" s="144"/>
      <c r="Q18" s="144"/>
      <c r="R18" s="144"/>
    </row>
    <row r="19" spans="1:18">
      <c r="A19" s="144"/>
      <c r="B19" s="144"/>
      <c r="C19" s="144"/>
      <c r="D19" s="144"/>
      <c r="E19" s="144"/>
      <c r="F19" s="144"/>
      <c r="G19" s="144"/>
      <c r="H19" s="144"/>
      <c r="I19" s="144"/>
      <c r="J19" s="144"/>
      <c r="K19" s="144"/>
      <c r="L19" s="144"/>
      <c r="M19" s="144"/>
      <c r="N19" s="144"/>
      <c r="O19" s="144"/>
      <c r="P19" s="144"/>
      <c r="Q19" s="144"/>
      <c r="R19" s="144"/>
    </row>
    <row r="20" spans="1:18">
      <c r="A20" s="144"/>
      <c r="B20" s="144"/>
      <c r="C20" s="144"/>
      <c r="D20" s="144"/>
      <c r="E20" s="144"/>
      <c r="F20" s="144"/>
      <c r="G20" s="144"/>
      <c r="H20" s="144"/>
      <c r="I20" s="144"/>
      <c r="J20" s="144"/>
      <c r="K20" s="144"/>
      <c r="L20" s="144"/>
      <c r="M20" s="144"/>
      <c r="N20" s="144"/>
      <c r="O20" s="144"/>
      <c r="P20" s="144"/>
      <c r="Q20" s="144"/>
      <c r="R20" s="144"/>
    </row>
    <row r="21" spans="1:18">
      <c r="A21" s="144"/>
      <c r="B21" s="144"/>
      <c r="C21" s="144"/>
      <c r="D21" s="144"/>
      <c r="E21" s="144"/>
      <c r="F21" s="144"/>
      <c r="G21" s="144"/>
      <c r="H21" s="144"/>
      <c r="I21" s="144"/>
      <c r="J21" s="144"/>
      <c r="K21" s="144"/>
      <c r="L21" s="144"/>
      <c r="M21" s="144"/>
      <c r="N21" s="144"/>
      <c r="O21" s="144"/>
      <c r="P21" s="144"/>
      <c r="Q21" s="144"/>
      <c r="R21" s="144"/>
    </row>
    <row r="22" spans="1:18">
      <c r="A22" s="144"/>
      <c r="B22" s="144"/>
      <c r="C22" s="144"/>
      <c r="D22" s="144"/>
      <c r="E22" s="144"/>
      <c r="F22" s="144"/>
      <c r="G22" s="144"/>
      <c r="H22" s="144"/>
      <c r="I22" s="144"/>
      <c r="J22" s="144"/>
      <c r="K22" s="144"/>
      <c r="L22" s="144"/>
      <c r="M22" s="144"/>
      <c r="N22" s="144"/>
      <c r="O22" s="144"/>
      <c r="P22" s="144"/>
      <c r="Q22" s="144"/>
      <c r="R22" s="144"/>
    </row>
    <row r="23" spans="1:18" ht="15.5" customHeight="1">
      <c r="A23" s="144"/>
      <c r="B23" s="144"/>
      <c r="C23" s="144"/>
      <c r="D23" s="144"/>
      <c r="E23" s="144"/>
      <c r="F23" s="144"/>
      <c r="G23" s="144"/>
      <c r="H23" s="144"/>
      <c r="I23" s="144"/>
      <c r="J23" s="144"/>
      <c r="K23" s="144"/>
      <c r="L23" s="144"/>
      <c r="M23" s="144"/>
      <c r="N23" s="144"/>
      <c r="O23" s="144"/>
      <c r="P23" s="144"/>
      <c r="Q23" s="144"/>
      <c r="R23" s="144"/>
    </row>
    <row r="24" spans="1:18" ht="15.5" customHeight="1">
      <c r="A24" s="144"/>
      <c r="B24" s="144"/>
      <c r="C24" s="144"/>
      <c r="D24" s="144"/>
      <c r="E24" s="144"/>
      <c r="F24" s="144"/>
      <c r="G24" s="144"/>
      <c r="H24" s="144"/>
      <c r="I24" s="144"/>
      <c r="J24" s="144"/>
      <c r="K24" s="144"/>
      <c r="L24" s="144"/>
      <c r="M24" s="144"/>
      <c r="N24" s="144"/>
      <c r="O24" s="144"/>
      <c r="P24" s="144"/>
      <c r="Q24" s="144"/>
      <c r="R24" s="144"/>
    </row>
    <row r="25" spans="1:18" ht="15.5" customHeight="1">
      <c r="A25" s="144"/>
      <c r="B25" s="144"/>
      <c r="C25" s="144"/>
      <c r="D25" s="144"/>
      <c r="E25" s="144"/>
      <c r="F25" s="144"/>
      <c r="G25" s="144"/>
      <c r="H25" s="144"/>
      <c r="I25" s="144"/>
      <c r="J25" s="144"/>
      <c r="K25" s="144"/>
      <c r="L25" s="144"/>
      <c r="M25" s="144"/>
      <c r="N25" s="144"/>
      <c r="O25" s="144"/>
      <c r="P25" s="144"/>
      <c r="Q25" s="144"/>
      <c r="R25" s="144"/>
    </row>
    <row r="26" spans="1:18" ht="15.5" customHeight="1">
      <c r="A26" s="144"/>
      <c r="B26" s="144"/>
      <c r="C26" s="144"/>
      <c r="D26" s="144"/>
      <c r="E26" s="144"/>
      <c r="F26" s="144"/>
      <c r="G26" s="144"/>
      <c r="H26" s="144"/>
      <c r="I26" s="144"/>
      <c r="J26" s="144"/>
      <c r="K26" s="144"/>
      <c r="L26" s="144"/>
      <c r="M26" s="144"/>
      <c r="N26" s="144"/>
      <c r="O26" s="144"/>
      <c r="P26" s="144"/>
      <c r="Q26" s="144"/>
      <c r="R26" s="144"/>
    </row>
    <row r="27" spans="1:18">
      <c r="A27" s="144"/>
      <c r="B27" s="144"/>
      <c r="C27" s="144"/>
      <c r="D27" s="144"/>
      <c r="E27" s="144"/>
      <c r="F27" s="144"/>
      <c r="G27" s="144"/>
      <c r="H27" s="144"/>
      <c r="I27" s="144"/>
      <c r="J27" s="144"/>
      <c r="K27" s="144"/>
      <c r="L27" s="144"/>
      <c r="M27" s="144"/>
      <c r="N27" s="144"/>
      <c r="O27" s="144"/>
      <c r="P27" s="144"/>
      <c r="Q27" s="144"/>
      <c r="R27" s="144"/>
    </row>
    <row r="28" spans="1:18">
      <c r="A28" s="144"/>
      <c r="B28" s="144"/>
      <c r="C28" s="144"/>
      <c r="D28" s="144"/>
      <c r="E28" s="144"/>
      <c r="F28" s="144"/>
      <c r="G28" s="144"/>
      <c r="H28" s="144"/>
      <c r="I28" s="144"/>
      <c r="J28" s="144"/>
      <c r="K28" s="144"/>
      <c r="L28" s="144"/>
      <c r="M28" s="144"/>
      <c r="N28" s="144"/>
      <c r="O28" s="144"/>
      <c r="P28" s="144"/>
      <c r="Q28" s="144"/>
      <c r="R28" s="144"/>
    </row>
    <row r="29" spans="1:18">
      <c r="A29" s="144"/>
      <c r="B29" s="144"/>
      <c r="C29" s="144"/>
      <c r="D29" s="144"/>
      <c r="E29" s="144"/>
      <c r="F29" s="144"/>
      <c r="G29" s="144"/>
      <c r="H29" s="144"/>
      <c r="I29" s="144"/>
      <c r="J29" s="144"/>
      <c r="K29" s="144"/>
      <c r="L29" s="144"/>
      <c r="M29" s="144"/>
      <c r="N29" s="144"/>
      <c r="O29" s="144"/>
      <c r="P29" s="144"/>
      <c r="Q29" s="144"/>
      <c r="R29" s="144"/>
    </row>
    <row r="30" spans="1:18">
      <c r="A30" s="144"/>
      <c r="B30" s="144"/>
      <c r="C30" s="144"/>
      <c r="D30" s="144"/>
      <c r="E30" s="144"/>
      <c r="F30" s="144"/>
      <c r="G30" s="144"/>
      <c r="H30" s="144"/>
      <c r="I30" s="144"/>
      <c r="J30" s="144"/>
      <c r="K30" s="144"/>
      <c r="L30" s="144"/>
      <c r="M30" s="144"/>
      <c r="N30" s="144"/>
      <c r="O30" s="144"/>
      <c r="P30" s="144"/>
      <c r="Q30" s="144"/>
      <c r="R30" s="144"/>
    </row>
    <row r="31" spans="1:18">
      <c r="A31" s="144"/>
      <c r="B31" s="144"/>
      <c r="C31" s="144"/>
      <c r="D31" s="144"/>
      <c r="E31" s="144"/>
      <c r="F31" s="144"/>
      <c r="G31" s="144"/>
      <c r="H31" s="144"/>
      <c r="I31" s="144"/>
      <c r="J31" s="144"/>
      <c r="K31" s="144"/>
      <c r="L31" s="144"/>
      <c r="M31" s="144"/>
      <c r="N31" s="144"/>
      <c r="O31" s="144"/>
      <c r="P31" s="144"/>
      <c r="Q31" s="144"/>
      <c r="R31" s="144"/>
    </row>
    <row r="32" spans="1:18">
      <c r="A32" s="144"/>
      <c r="B32" s="144"/>
      <c r="C32" s="144"/>
      <c r="D32" s="144"/>
      <c r="E32" s="144"/>
      <c r="F32" s="144"/>
      <c r="G32" s="144"/>
      <c r="H32" s="144"/>
      <c r="I32" s="144"/>
      <c r="J32" s="144"/>
      <c r="K32" s="144"/>
      <c r="L32" s="144"/>
      <c r="M32" s="144"/>
      <c r="N32" s="144"/>
      <c r="O32" s="144"/>
      <c r="P32" s="144"/>
      <c r="Q32" s="144"/>
      <c r="R32" s="144"/>
    </row>
    <row r="33" spans="1:18">
      <c r="A33" s="144"/>
      <c r="B33" s="144"/>
      <c r="C33" s="144"/>
      <c r="D33" s="144"/>
      <c r="E33" s="144"/>
      <c r="F33" s="144"/>
      <c r="G33" s="144"/>
      <c r="H33" s="144"/>
      <c r="I33" s="144"/>
      <c r="J33" s="144"/>
      <c r="K33" s="144"/>
      <c r="L33" s="144"/>
      <c r="M33" s="144"/>
      <c r="N33" s="144"/>
      <c r="O33" s="144"/>
      <c r="P33" s="144"/>
      <c r="Q33" s="144"/>
      <c r="R33" s="144"/>
    </row>
    <row r="34" spans="1:18" ht="15" customHeight="1" thickBot="1">
      <c r="A34" s="144"/>
      <c r="B34" s="406" t="s">
        <v>0</v>
      </c>
      <c r="C34" s="406"/>
      <c r="D34" s="406"/>
      <c r="E34" s="406"/>
      <c r="F34" s="406"/>
      <c r="G34" s="406"/>
      <c r="H34" s="406"/>
      <c r="I34" s="406"/>
      <c r="J34" s="406"/>
      <c r="K34" s="406"/>
      <c r="L34" s="406"/>
      <c r="M34" s="406"/>
      <c r="N34" s="406"/>
      <c r="O34" s="406"/>
      <c r="P34" s="406"/>
      <c r="Q34" s="406"/>
      <c r="R34" s="144"/>
    </row>
    <row r="35" spans="1:18" ht="17" thickTop="1" thickBot="1">
      <c r="A35" s="144"/>
      <c r="B35" s="406"/>
      <c r="C35" s="406"/>
      <c r="D35" s="406"/>
      <c r="E35" s="406"/>
      <c r="F35" s="406"/>
      <c r="G35" s="406"/>
      <c r="H35" s="406"/>
      <c r="I35" s="406"/>
      <c r="J35" s="406"/>
      <c r="K35" s="406"/>
      <c r="L35" s="406"/>
      <c r="M35" s="406"/>
      <c r="N35" s="406"/>
      <c r="O35" s="406"/>
      <c r="P35" s="406"/>
      <c r="Q35" s="406"/>
      <c r="R35" s="144"/>
    </row>
    <row r="36" spans="1:18" ht="16" thickTop="1">
      <c r="A36" s="144"/>
      <c r="B36" s="211"/>
      <c r="C36" s="211"/>
      <c r="D36" s="211"/>
      <c r="E36" s="211"/>
      <c r="F36" s="211"/>
      <c r="G36" s="211"/>
      <c r="H36" s="211"/>
      <c r="I36" s="211"/>
      <c r="J36" s="211"/>
      <c r="K36" s="211"/>
      <c r="L36" s="211"/>
      <c r="M36" s="211"/>
      <c r="N36" s="211"/>
      <c r="O36" s="211"/>
      <c r="P36" s="211"/>
      <c r="Q36" s="211"/>
      <c r="R36" s="144"/>
    </row>
    <row r="37" spans="1:18">
      <c r="A37" s="144"/>
      <c r="B37" s="407" t="s">
        <v>1</v>
      </c>
      <c r="C37" s="407"/>
      <c r="D37" s="407"/>
      <c r="E37" s="407"/>
      <c r="F37" s="407"/>
      <c r="G37" s="407"/>
      <c r="H37" s="407"/>
      <c r="I37" s="407"/>
      <c r="J37" s="407"/>
      <c r="K37" s="407"/>
      <c r="L37" s="407"/>
      <c r="M37" s="407"/>
      <c r="N37" s="407"/>
      <c r="O37" s="407"/>
      <c r="P37" s="407"/>
      <c r="Q37" s="407"/>
      <c r="R37" s="144"/>
    </row>
    <row r="38" spans="1:18">
      <c r="A38" s="144"/>
      <c r="B38" s="378"/>
      <c r="C38" s="211"/>
      <c r="D38" s="211"/>
      <c r="E38" s="211"/>
      <c r="F38" s="211"/>
      <c r="G38" s="211"/>
      <c r="H38" s="211"/>
      <c r="I38" s="211"/>
      <c r="J38" s="211"/>
      <c r="K38" s="211"/>
      <c r="L38" s="211"/>
      <c r="M38" s="211"/>
      <c r="N38" s="211"/>
      <c r="O38" s="211"/>
      <c r="P38" s="211"/>
      <c r="Q38" s="211"/>
      <c r="R38" s="144"/>
    </row>
    <row r="39" spans="1:18">
      <c r="A39" s="144"/>
      <c r="B39" s="408" t="s">
        <v>2</v>
      </c>
      <c r="C39" s="408"/>
      <c r="D39" s="408"/>
      <c r="E39" s="408"/>
      <c r="F39" s="408"/>
      <c r="G39" s="408"/>
      <c r="H39" s="408"/>
      <c r="I39" s="408"/>
      <c r="J39" s="408"/>
      <c r="K39" s="408"/>
      <c r="L39" s="408"/>
      <c r="M39" s="408"/>
      <c r="N39" s="408"/>
      <c r="O39" s="408"/>
      <c r="P39" s="408"/>
      <c r="Q39" s="408"/>
      <c r="R39" s="144"/>
    </row>
    <row r="40" spans="1:18" ht="15" customHeight="1">
      <c r="A40" s="144"/>
      <c r="B40" s="411" t="s">
        <v>3</v>
      </c>
      <c r="C40" s="411"/>
      <c r="D40" s="411"/>
      <c r="E40" s="411"/>
      <c r="F40" s="411"/>
      <c r="G40" s="411"/>
      <c r="H40" s="411"/>
      <c r="I40" s="411"/>
      <c r="J40" s="411"/>
      <c r="K40" s="411"/>
      <c r="L40" s="411"/>
      <c r="M40" s="411"/>
      <c r="N40" s="411"/>
      <c r="O40" s="411"/>
      <c r="P40" s="411"/>
      <c r="Q40" s="411"/>
      <c r="R40" s="144"/>
    </row>
    <row r="41" spans="1:18">
      <c r="A41" s="144"/>
      <c r="B41" s="411"/>
      <c r="C41" s="411"/>
      <c r="D41" s="411"/>
      <c r="E41" s="411"/>
      <c r="F41" s="411"/>
      <c r="G41" s="411"/>
      <c r="H41" s="411"/>
      <c r="I41" s="411"/>
      <c r="J41" s="411"/>
      <c r="K41" s="411"/>
      <c r="L41" s="411"/>
      <c r="M41" s="411"/>
      <c r="N41" s="411"/>
      <c r="O41" s="411"/>
      <c r="P41" s="411"/>
      <c r="Q41" s="411"/>
      <c r="R41" s="144"/>
    </row>
    <row r="42" spans="1:18">
      <c r="A42" s="144"/>
      <c r="B42" s="411"/>
      <c r="C42" s="411"/>
      <c r="D42" s="411"/>
      <c r="E42" s="411"/>
      <c r="F42" s="411"/>
      <c r="G42" s="411"/>
      <c r="H42" s="411"/>
      <c r="I42" s="411"/>
      <c r="J42" s="411"/>
      <c r="K42" s="411"/>
      <c r="L42" s="411"/>
      <c r="M42" s="411"/>
      <c r="N42" s="411"/>
      <c r="O42" s="411"/>
      <c r="P42" s="411"/>
      <c r="Q42" s="411"/>
      <c r="R42" s="144"/>
    </row>
    <row r="43" spans="1:18">
      <c r="A43" s="144"/>
      <c r="B43" s="411"/>
      <c r="C43" s="411"/>
      <c r="D43" s="411"/>
      <c r="E43" s="411"/>
      <c r="F43" s="411"/>
      <c r="G43" s="411"/>
      <c r="H43" s="411"/>
      <c r="I43" s="411"/>
      <c r="J43" s="411"/>
      <c r="K43" s="411"/>
      <c r="L43" s="411"/>
      <c r="M43" s="411"/>
      <c r="N43" s="411"/>
      <c r="O43" s="411"/>
      <c r="P43" s="411"/>
      <c r="Q43" s="411"/>
      <c r="R43" s="144"/>
    </row>
    <row r="44" spans="1:18" ht="15" customHeight="1">
      <c r="A44" s="144"/>
      <c r="B44" s="411" t="s">
        <v>4</v>
      </c>
      <c r="C44" s="411"/>
      <c r="D44" s="411"/>
      <c r="E44" s="411"/>
      <c r="F44" s="411"/>
      <c r="G44" s="411"/>
      <c r="H44" s="411"/>
      <c r="I44" s="411"/>
      <c r="J44" s="411"/>
      <c r="K44" s="411"/>
      <c r="L44" s="411"/>
      <c r="M44" s="411"/>
      <c r="N44" s="411"/>
      <c r="O44" s="411"/>
      <c r="P44" s="411"/>
      <c r="Q44" s="411"/>
      <c r="R44" s="144"/>
    </row>
    <row r="45" spans="1:18">
      <c r="A45" s="144"/>
      <c r="B45" s="212"/>
      <c r="C45" s="212"/>
      <c r="D45" s="212"/>
      <c r="E45" s="212"/>
      <c r="F45" s="212"/>
      <c r="G45" s="212"/>
      <c r="H45" s="212"/>
      <c r="I45" s="212"/>
      <c r="J45" s="212"/>
      <c r="K45" s="212"/>
      <c r="L45" s="212"/>
      <c r="M45" s="212"/>
      <c r="N45" s="212"/>
      <c r="O45" s="212"/>
      <c r="P45" s="212"/>
      <c r="Q45" s="212"/>
      <c r="R45" s="144"/>
    </row>
    <row r="46" spans="1:18" ht="15" customHeight="1">
      <c r="A46" s="144"/>
      <c r="B46" s="411" t="s">
        <v>5</v>
      </c>
      <c r="C46" s="411"/>
      <c r="D46" s="411"/>
      <c r="E46" s="411"/>
      <c r="F46" s="411"/>
      <c r="G46" s="411"/>
      <c r="H46" s="411"/>
      <c r="I46" s="411"/>
      <c r="J46" s="411"/>
      <c r="K46" s="411"/>
      <c r="L46" s="411"/>
      <c r="M46" s="411"/>
      <c r="N46" s="411"/>
      <c r="O46" s="411"/>
      <c r="P46" s="411"/>
      <c r="Q46" s="411"/>
      <c r="R46" s="144"/>
    </row>
    <row r="47" spans="1:18">
      <c r="A47" s="144"/>
      <c r="B47" s="411"/>
      <c r="C47" s="411"/>
      <c r="D47" s="411"/>
      <c r="E47" s="411"/>
      <c r="F47" s="411"/>
      <c r="G47" s="411"/>
      <c r="H47" s="411"/>
      <c r="I47" s="411"/>
      <c r="J47" s="411"/>
      <c r="K47" s="411"/>
      <c r="L47" s="411"/>
      <c r="M47" s="411"/>
      <c r="N47" s="411"/>
      <c r="O47" s="411"/>
      <c r="P47" s="411"/>
      <c r="Q47" s="411"/>
      <c r="R47" s="144"/>
    </row>
    <row r="48" spans="1:18">
      <c r="A48" s="144"/>
      <c r="B48" s="212"/>
      <c r="C48" s="144"/>
      <c r="D48" s="144"/>
      <c r="E48" s="144"/>
      <c r="F48" s="208"/>
      <c r="G48" s="208"/>
      <c r="H48" s="208"/>
      <c r="I48" s="208"/>
      <c r="J48" s="208"/>
      <c r="K48" s="208"/>
      <c r="L48" s="208"/>
      <c r="M48" s="208"/>
      <c r="N48" s="144"/>
      <c r="O48" s="144"/>
      <c r="P48" s="144"/>
      <c r="Q48" s="212"/>
      <c r="R48" s="144"/>
    </row>
    <row r="49" spans="1:18">
      <c r="A49" s="144"/>
      <c r="B49" s="412" t="s">
        <v>6</v>
      </c>
      <c r="C49" s="412"/>
      <c r="D49" s="412"/>
      <c r="E49" s="412"/>
      <c r="F49" s="412"/>
      <c r="G49" s="412"/>
      <c r="H49" s="412"/>
      <c r="I49" s="412"/>
      <c r="J49" s="412"/>
      <c r="K49" s="412"/>
      <c r="L49" s="412"/>
      <c r="M49" s="412"/>
      <c r="N49" s="412"/>
      <c r="O49" s="412"/>
      <c r="P49" s="412"/>
      <c r="Q49" s="412"/>
      <c r="R49" s="144"/>
    </row>
    <row r="50" spans="1:18" ht="14.25" customHeight="1">
      <c r="A50" s="144"/>
      <c r="B50" s="375"/>
      <c r="C50" s="375"/>
      <c r="D50" s="375"/>
      <c r="E50" s="375"/>
      <c r="F50" s="375"/>
      <c r="G50" s="375"/>
      <c r="H50" s="375"/>
      <c r="I50" s="375"/>
      <c r="J50" s="375"/>
      <c r="K50" s="375"/>
      <c r="L50" s="375"/>
      <c r="M50" s="375"/>
      <c r="N50" s="375"/>
      <c r="O50" s="375"/>
      <c r="P50" s="375"/>
      <c r="Q50" s="375"/>
      <c r="R50" s="144"/>
    </row>
    <row r="51" spans="1:18" ht="15" customHeight="1">
      <c r="A51" s="144"/>
      <c r="B51" s="413" t="s">
        <v>7</v>
      </c>
      <c r="C51" s="413"/>
      <c r="D51" s="413"/>
      <c r="E51" s="413"/>
      <c r="F51" s="413"/>
      <c r="G51" s="413"/>
      <c r="H51" s="413"/>
      <c r="I51" s="413"/>
      <c r="J51" s="413"/>
      <c r="K51" s="413"/>
      <c r="L51" s="413"/>
      <c r="M51" s="413"/>
      <c r="N51" s="413"/>
      <c r="O51" s="413"/>
      <c r="P51" s="413"/>
      <c r="Q51" s="413"/>
      <c r="R51" s="144"/>
    </row>
    <row r="52" spans="1:18" ht="15" customHeight="1">
      <c r="A52" s="144"/>
      <c r="B52" s="413"/>
      <c r="C52" s="413"/>
      <c r="D52" s="413"/>
      <c r="E52" s="413"/>
      <c r="F52" s="413"/>
      <c r="G52" s="413"/>
      <c r="H52" s="413"/>
      <c r="I52" s="413"/>
      <c r="J52" s="413"/>
      <c r="K52" s="413"/>
      <c r="L52" s="413"/>
      <c r="M52" s="413"/>
      <c r="N52" s="413"/>
      <c r="O52" s="413"/>
      <c r="P52" s="413"/>
      <c r="Q52" s="413"/>
      <c r="R52" s="144"/>
    </row>
    <row r="53" spans="1:18" ht="15" customHeight="1">
      <c r="A53" s="144"/>
      <c r="B53" s="413" t="s">
        <v>8</v>
      </c>
      <c r="C53" s="413"/>
      <c r="D53" s="413"/>
      <c r="E53" s="413"/>
      <c r="F53" s="413"/>
      <c r="G53" s="413"/>
      <c r="H53" s="413"/>
      <c r="I53" s="413"/>
      <c r="J53" s="413"/>
      <c r="K53" s="413"/>
      <c r="L53" s="413"/>
      <c r="M53" s="413"/>
      <c r="N53" s="413"/>
      <c r="O53" s="413"/>
      <c r="P53" s="413"/>
      <c r="Q53" s="413"/>
      <c r="R53" s="144"/>
    </row>
    <row r="54" spans="1:18" ht="15" customHeight="1">
      <c r="A54" s="144"/>
      <c r="B54" s="413"/>
      <c r="C54" s="413"/>
      <c r="D54" s="413"/>
      <c r="E54" s="413"/>
      <c r="F54" s="413"/>
      <c r="G54" s="413"/>
      <c r="H54" s="413"/>
      <c r="I54" s="413"/>
      <c r="J54" s="413"/>
      <c r="K54" s="413"/>
      <c r="L54" s="413"/>
      <c r="M54" s="413"/>
      <c r="N54" s="413"/>
      <c r="O54" s="413"/>
      <c r="P54" s="413"/>
      <c r="Q54" s="413"/>
      <c r="R54" s="144"/>
    </row>
    <row r="55" spans="1:18" ht="12.75" customHeight="1">
      <c r="A55" s="144"/>
      <c r="B55" s="422" t="s">
        <v>9</v>
      </c>
      <c r="C55" s="422"/>
      <c r="D55" s="422"/>
      <c r="E55" s="422"/>
      <c r="F55" s="422"/>
      <c r="G55" s="422"/>
      <c r="H55" s="422"/>
      <c r="I55" s="422"/>
      <c r="J55" s="422"/>
      <c r="K55" s="422"/>
      <c r="L55" s="422"/>
      <c r="M55" s="422"/>
      <c r="N55" s="422"/>
      <c r="O55" s="422"/>
      <c r="P55" s="422"/>
      <c r="Q55" s="422"/>
      <c r="R55" s="144"/>
    </row>
    <row r="56" spans="1:18" ht="16.5" customHeight="1" thickBot="1">
      <c r="A56" s="144"/>
      <c r="B56" s="212"/>
      <c r="C56" s="144"/>
      <c r="D56" s="144"/>
      <c r="E56" s="144"/>
      <c r="F56" s="144"/>
      <c r="G56" s="144"/>
      <c r="H56" s="144"/>
      <c r="I56" s="144"/>
      <c r="J56" s="144"/>
      <c r="K56" s="144"/>
      <c r="L56" s="144"/>
      <c r="M56" s="144"/>
      <c r="N56" s="144"/>
      <c r="O56" s="144"/>
      <c r="P56" s="144"/>
      <c r="Q56" s="212"/>
      <c r="R56" s="144"/>
    </row>
    <row r="57" spans="1:18" ht="15.75" customHeight="1">
      <c r="A57" s="144"/>
      <c r="B57" s="212"/>
      <c r="C57" s="144"/>
      <c r="D57" s="144"/>
      <c r="E57" s="144"/>
      <c r="F57" s="414" t="s">
        <v>10</v>
      </c>
      <c r="G57" s="415"/>
      <c r="H57" s="415"/>
      <c r="I57" s="415"/>
      <c r="J57" s="415"/>
      <c r="K57" s="415"/>
      <c r="L57" s="416"/>
      <c r="M57" s="404"/>
      <c r="N57" s="144"/>
      <c r="O57" s="144"/>
      <c r="P57" s="144"/>
      <c r="Q57" s="212"/>
      <c r="R57" s="144"/>
    </row>
    <row r="58" spans="1:18" ht="19.5" customHeight="1" thickBot="1">
      <c r="A58" s="144"/>
      <c r="B58" s="212"/>
      <c r="C58" s="144"/>
      <c r="D58" s="144"/>
      <c r="E58" s="144"/>
      <c r="F58" s="417"/>
      <c r="G58" s="418"/>
      <c r="H58" s="418"/>
      <c r="I58" s="418"/>
      <c r="J58" s="418"/>
      <c r="K58" s="418"/>
      <c r="L58" s="419"/>
      <c r="M58" s="404"/>
      <c r="N58" s="144"/>
      <c r="O58" s="144"/>
      <c r="P58" s="144"/>
      <c r="Q58" s="212"/>
      <c r="R58" s="144"/>
    </row>
    <row r="59" spans="1:18" ht="15.75" customHeight="1">
      <c r="A59" s="144"/>
      <c r="B59" s="212"/>
      <c r="C59" s="144"/>
      <c r="D59" s="144"/>
      <c r="E59" s="144"/>
      <c r="F59" s="376"/>
      <c r="G59" s="376"/>
      <c r="H59" s="376"/>
      <c r="I59" s="376"/>
      <c r="J59" s="376"/>
      <c r="K59" s="376"/>
      <c r="L59" s="376"/>
      <c r="M59" s="404"/>
      <c r="N59" s="144"/>
      <c r="O59" s="144"/>
      <c r="P59" s="144"/>
      <c r="Q59" s="212"/>
      <c r="R59" s="144"/>
    </row>
    <row r="60" spans="1:18" ht="15.75" customHeight="1">
      <c r="A60" s="144"/>
      <c r="B60" s="421" t="s">
        <v>11</v>
      </c>
      <c r="C60" s="421"/>
      <c r="D60" s="421"/>
      <c r="E60" s="421"/>
      <c r="F60" s="421"/>
      <c r="G60" s="421"/>
      <c r="H60" s="421"/>
      <c r="I60" s="421"/>
      <c r="J60" s="421"/>
      <c r="K60" s="421"/>
      <c r="L60" s="421"/>
      <c r="M60" s="421"/>
      <c r="N60" s="421"/>
      <c r="O60" s="421"/>
      <c r="P60" s="421"/>
      <c r="Q60" s="421"/>
      <c r="R60" s="144"/>
    </row>
    <row r="61" spans="1:18" ht="15.75" customHeight="1">
      <c r="A61" s="144"/>
      <c r="B61" s="423" t="s">
        <v>12</v>
      </c>
      <c r="C61" s="423"/>
      <c r="D61" s="423"/>
      <c r="E61" s="423"/>
      <c r="F61" s="423"/>
      <c r="G61" s="423"/>
      <c r="H61" s="423"/>
      <c r="I61" s="423"/>
      <c r="J61" s="423"/>
      <c r="K61" s="423"/>
      <c r="L61" s="423"/>
      <c r="M61" s="423"/>
      <c r="N61" s="423"/>
      <c r="O61" s="423"/>
      <c r="P61" s="423"/>
      <c r="Q61" s="423"/>
      <c r="R61" s="144"/>
    </row>
    <row r="62" spans="1:18" ht="13.5" customHeight="1">
      <c r="A62" s="144"/>
      <c r="B62" s="212"/>
      <c r="C62" s="144"/>
      <c r="D62" s="144"/>
      <c r="E62" s="144"/>
      <c r="F62" s="376"/>
      <c r="G62" s="376"/>
      <c r="H62" s="376"/>
      <c r="I62" s="376"/>
      <c r="J62" s="376"/>
      <c r="K62" s="376"/>
      <c r="L62" s="376"/>
      <c r="M62" s="377"/>
      <c r="N62" s="144"/>
      <c r="O62" s="144"/>
      <c r="P62" s="144"/>
      <c r="Q62" s="212"/>
      <c r="R62" s="144"/>
    </row>
    <row r="63" spans="1:18">
      <c r="A63" s="144"/>
      <c r="B63" s="212"/>
      <c r="C63" s="144"/>
      <c r="D63" s="144"/>
      <c r="E63" s="144"/>
      <c r="F63" s="376"/>
      <c r="G63" s="376"/>
      <c r="H63" s="376"/>
      <c r="I63" s="376"/>
      <c r="J63" s="376"/>
      <c r="K63" s="376"/>
      <c r="L63" s="376"/>
      <c r="M63" s="377"/>
      <c r="N63" s="144"/>
      <c r="O63" s="144"/>
      <c r="P63" s="144"/>
      <c r="Q63" s="212"/>
      <c r="R63" s="144"/>
    </row>
    <row r="64" spans="1:18">
      <c r="A64" s="144"/>
      <c r="B64" s="212"/>
      <c r="C64" s="144"/>
      <c r="D64" s="144"/>
      <c r="E64" s="144"/>
      <c r="F64" s="376"/>
      <c r="G64" s="376"/>
      <c r="H64" s="376"/>
      <c r="I64" s="376"/>
      <c r="J64" s="376"/>
      <c r="K64" s="376"/>
      <c r="L64" s="376"/>
      <c r="M64" s="377"/>
      <c r="N64" s="144"/>
      <c r="O64" s="144"/>
      <c r="P64" s="144"/>
      <c r="Q64" s="212"/>
      <c r="R64" s="144"/>
    </row>
    <row r="65" spans="1:18">
      <c r="A65" s="144"/>
      <c r="B65" s="420" t="s">
        <v>13</v>
      </c>
      <c r="C65" s="420"/>
      <c r="D65" s="420"/>
      <c r="E65" s="420"/>
      <c r="F65" s="420"/>
      <c r="G65" s="420"/>
      <c r="H65" s="420"/>
      <c r="I65" s="420"/>
      <c r="J65" s="420"/>
      <c r="K65" s="420"/>
      <c r="L65" s="420"/>
      <c r="M65" s="420"/>
      <c r="N65" s="420"/>
      <c r="O65" s="420"/>
      <c r="P65" s="420"/>
      <c r="Q65" s="420"/>
      <c r="R65" s="144"/>
    </row>
    <row r="66" spans="1:18">
      <c r="A66" s="144"/>
      <c r="B66" s="212"/>
      <c r="C66" s="144"/>
      <c r="D66" s="144"/>
      <c r="E66" s="144"/>
      <c r="F66" s="376"/>
      <c r="G66" s="376"/>
      <c r="H66" s="376"/>
      <c r="I66" s="376"/>
      <c r="J66" s="376"/>
      <c r="K66" s="376"/>
      <c r="L66" s="376"/>
      <c r="M66" s="377"/>
      <c r="N66" s="144"/>
      <c r="O66" s="144"/>
      <c r="P66" s="144"/>
      <c r="Q66" s="212"/>
      <c r="R66" s="144"/>
    </row>
    <row r="67" spans="1:18">
      <c r="A67" s="144"/>
      <c r="B67" s="144"/>
      <c r="C67" s="144"/>
      <c r="D67" s="144"/>
      <c r="E67" s="144"/>
      <c r="F67" s="144"/>
      <c r="G67" s="144"/>
      <c r="H67" s="144"/>
      <c r="I67" s="144"/>
      <c r="J67" s="144"/>
      <c r="K67" s="144"/>
      <c r="L67" s="144"/>
      <c r="M67" s="144"/>
      <c r="N67" s="144"/>
      <c r="O67" s="144"/>
      <c r="P67" s="144"/>
      <c r="Q67" s="144"/>
      <c r="R67" s="144"/>
    </row>
    <row r="68" spans="1:18">
      <c r="A68" s="144"/>
      <c r="B68" s="144"/>
      <c r="C68" s="144"/>
      <c r="D68" s="144"/>
      <c r="E68" s="144"/>
      <c r="F68" s="144"/>
      <c r="G68" s="144"/>
      <c r="H68" s="144"/>
      <c r="I68" s="144"/>
      <c r="J68" s="144"/>
      <c r="K68" s="144"/>
      <c r="L68" s="144"/>
      <c r="M68" s="144"/>
      <c r="N68" s="144"/>
      <c r="O68" s="144"/>
      <c r="P68" s="144"/>
      <c r="Q68" s="144"/>
      <c r="R68" s="144"/>
    </row>
    <row r="69" spans="1:18">
      <c r="A69" s="144"/>
      <c r="B69" s="408" t="s">
        <v>14</v>
      </c>
      <c r="C69" s="408"/>
      <c r="D69" s="408"/>
      <c r="E69" s="408"/>
      <c r="F69" s="408"/>
      <c r="G69" s="408"/>
      <c r="H69" s="408"/>
      <c r="I69" s="408"/>
      <c r="J69" s="408"/>
      <c r="K69" s="408"/>
      <c r="L69" s="408"/>
      <c r="M69" s="408"/>
      <c r="N69" s="408"/>
      <c r="O69" s="408"/>
      <c r="P69" s="408"/>
      <c r="Q69" s="408"/>
      <c r="R69" s="144"/>
    </row>
    <row r="70" spans="1:18" ht="14.5" customHeight="1">
      <c r="A70" s="144"/>
      <c r="B70" s="410" t="s">
        <v>15</v>
      </c>
      <c r="C70" s="410"/>
      <c r="D70" s="410"/>
      <c r="E70" s="410"/>
      <c r="F70" s="410"/>
      <c r="G70" s="410"/>
      <c r="H70" s="410"/>
      <c r="I70" s="410"/>
      <c r="J70" s="410"/>
      <c r="K70" s="410"/>
      <c r="L70" s="410"/>
      <c r="M70" s="410"/>
      <c r="N70" s="410"/>
      <c r="O70" s="410"/>
      <c r="P70" s="410"/>
      <c r="Q70" s="410"/>
      <c r="R70" s="144"/>
    </row>
    <row r="71" spans="1:18" ht="14.5" customHeight="1">
      <c r="A71" s="144"/>
      <c r="B71" s="410"/>
      <c r="C71" s="410"/>
      <c r="D71" s="410"/>
      <c r="E71" s="410"/>
      <c r="F71" s="410"/>
      <c r="G71" s="410"/>
      <c r="H71" s="410"/>
      <c r="I71" s="410"/>
      <c r="J71" s="410"/>
      <c r="K71" s="410"/>
      <c r="L71" s="410"/>
      <c r="M71" s="410"/>
      <c r="N71" s="410"/>
      <c r="O71" s="410"/>
      <c r="P71" s="410"/>
      <c r="Q71" s="410"/>
      <c r="R71" s="144"/>
    </row>
    <row r="72" spans="1:18" ht="14.5" customHeight="1">
      <c r="A72" s="144"/>
      <c r="B72" s="409" t="s">
        <v>16</v>
      </c>
      <c r="C72" s="409"/>
      <c r="D72" s="409"/>
      <c r="E72" s="409"/>
      <c r="F72" s="409"/>
      <c r="G72" s="409"/>
      <c r="H72" s="409"/>
      <c r="I72" s="409"/>
      <c r="J72" s="409"/>
      <c r="K72" s="409"/>
      <c r="L72" s="409"/>
      <c r="M72" s="409"/>
      <c r="N72" s="409"/>
      <c r="O72" s="409"/>
      <c r="P72" s="409"/>
      <c r="Q72" s="409"/>
      <c r="R72" s="144"/>
    </row>
    <row r="73" spans="1:18" ht="14.5" customHeight="1">
      <c r="A73" s="144"/>
      <c r="B73" s="354" t="s">
        <v>17</v>
      </c>
      <c r="C73" s="354"/>
      <c r="D73" s="354"/>
      <c r="E73" s="354"/>
      <c r="F73" s="354"/>
      <c r="G73" s="354"/>
      <c r="H73" s="354"/>
      <c r="I73" s="354"/>
      <c r="J73" s="354"/>
      <c r="K73" s="354"/>
      <c r="L73" s="354"/>
      <c r="M73" s="354"/>
      <c r="N73" s="354"/>
      <c r="O73" s="354"/>
      <c r="P73" s="354"/>
      <c r="Q73" s="354"/>
      <c r="R73" s="144"/>
    </row>
    <row r="74" spans="1:18" ht="14.5" customHeight="1">
      <c r="A74" s="144"/>
      <c r="B74" s="354"/>
      <c r="C74" s="354"/>
      <c r="D74" s="354"/>
      <c r="E74" s="354"/>
      <c r="F74" s="354"/>
      <c r="G74" s="354"/>
      <c r="H74" s="354"/>
      <c r="I74" s="354"/>
      <c r="J74" s="354"/>
      <c r="K74" s="354"/>
      <c r="L74" s="354"/>
      <c r="M74" s="354"/>
      <c r="N74" s="354"/>
      <c r="O74" s="354"/>
      <c r="P74" s="354"/>
      <c r="Q74" s="354"/>
      <c r="R74" s="144"/>
    </row>
    <row r="75" spans="1:18" ht="14.5" customHeight="1">
      <c r="A75" s="144"/>
      <c r="B75" s="408" t="s">
        <v>18</v>
      </c>
      <c r="C75" s="408"/>
      <c r="D75" s="408"/>
      <c r="E75" s="408"/>
      <c r="F75" s="408"/>
      <c r="G75" s="408"/>
      <c r="H75" s="408"/>
      <c r="I75" s="408"/>
      <c r="J75" s="408"/>
      <c r="K75" s="408"/>
      <c r="L75" s="408"/>
      <c r="M75" s="408"/>
      <c r="N75" s="408"/>
      <c r="O75" s="408"/>
      <c r="P75" s="408"/>
      <c r="Q75" s="408"/>
      <c r="R75" s="144"/>
    </row>
    <row r="76" spans="1:18" ht="14.5" customHeight="1">
      <c r="A76" s="144"/>
      <c r="B76" s="424" t="s">
        <v>19</v>
      </c>
      <c r="C76" s="424"/>
      <c r="D76" s="424"/>
      <c r="E76" s="424"/>
      <c r="F76" s="424"/>
      <c r="G76" s="424"/>
      <c r="H76" s="424"/>
      <c r="I76" s="424"/>
      <c r="J76" s="424"/>
      <c r="K76" s="424"/>
      <c r="L76" s="424"/>
      <c r="M76" s="144"/>
      <c r="N76" s="144"/>
      <c r="O76" s="144"/>
      <c r="P76" s="144"/>
      <c r="Q76" s="144"/>
      <c r="R76" s="144"/>
    </row>
    <row r="77" spans="1:18" ht="14.5" customHeight="1">
      <c r="A77" s="144"/>
      <c r="B77" s="144" t="s">
        <v>20</v>
      </c>
      <c r="C77" s="144"/>
      <c r="D77" s="144"/>
      <c r="E77" s="144"/>
      <c r="F77" s="144"/>
      <c r="G77" s="144"/>
      <c r="H77" s="144"/>
      <c r="I77" s="144"/>
      <c r="J77" s="144"/>
      <c r="K77" s="144"/>
      <c r="L77" s="144"/>
      <c r="M77" s="144"/>
      <c r="N77" s="144"/>
      <c r="O77" s="144"/>
      <c r="P77" s="144"/>
      <c r="Q77" s="144"/>
      <c r="R77" s="144"/>
    </row>
    <row r="78" spans="1:18" ht="14.5" customHeight="1">
      <c r="A78" s="144"/>
      <c r="B78" s="144" t="s">
        <v>21</v>
      </c>
      <c r="C78" s="144"/>
      <c r="D78" s="144"/>
      <c r="E78" s="144"/>
      <c r="F78" s="144"/>
      <c r="G78" s="144"/>
      <c r="H78" s="144"/>
      <c r="I78" s="144"/>
      <c r="J78" s="144"/>
      <c r="K78" s="144"/>
      <c r="L78" s="144"/>
      <c r="M78" s="144"/>
      <c r="N78" s="144"/>
      <c r="O78" s="144"/>
      <c r="P78" s="144"/>
      <c r="Q78" s="144"/>
      <c r="R78" s="144"/>
    </row>
    <row r="79" spans="1:18" ht="14.5" customHeight="1">
      <c r="A79" s="144"/>
      <c r="B79" s="144" t="s">
        <v>22</v>
      </c>
      <c r="C79" s="144"/>
      <c r="D79" s="144"/>
      <c r="E79" s="144"/>
      <c r="F79" s="144"/>
      <c r="G79" s="144"/>
      <c r="H79" s="144"/>
      <c r="I79" s="144"/>
      <c r="J79" s="144"/>
      <c r="K79" s="144"/>
      <c r="L79" s="144"/>
      <c r="M79" s="144"/>
      <c r="N79" s="144"/>
      <c r="O79" s="144"/>
      <c r="P79" s="144"/>
      <c r="Q79" s="144"/>
      <c r="R79" s="144"/>
    </row>
    <row r="80" spans="1:18" ht="14.5" customHeight="1">
      <c r="A80" s="144"/>
      <c r="B80" s="144"/>
      <c r="C80" s="144"/>
      <c r="D80" s="144"/>
      <c r="E80" s="144"/>
      <c r="F80" s="144"/>
      <c r="G80" s="144"/>
      <c r="H80" s="144"/>
      <c r="I80" s="144"/>
      <c r="J80" s="144"/>
      <c r="K80" s="144"/>
      <c r="L80" s="144"/>
      <c r="M80" s="144"/>
      <c r="N80" s="144"/>
      <c r="O80" s="144"/>
      <c r="P80" s="144"/>
      <c r="Q80" s="144"/>
      <c r="R80" s="144"/>
    </row>
    <row r="81" spans="2:17" ht="14.5" customHeight="1">
      <c r="B81" s="144"/>
      <c r="C81" s="144"/>
      <c r="D81" s="144"/>
      <c r="E81" s="144"/>
      <c r="F81" s="144"/>
      <c r="G81" s="144"/>
      <c r="H81" s="144"/>
      <c r="I81" s="144"/>
      <c r="J81" s="144"/>
      <c r="K81" s="144"/>
      <c r="L81" s="144"/>
      <c r="M81" s="144"/>
      <c r="N81" s="144"/>
      <c r="O81" s="144"/>
      <c r="P81" s="144"/>
      <c r="Q81" s="144"/>
    </row>
  </sheetData>
  <mergeCells count="19">
    <mergeCell ref="B61:Q61"/>
    <mergeCell ref="B76:L76"/>
    <mergeCell ref="B75:Q75"/>
    <mergeCell ref="B34:Q35"/>
    <mergeCell ref="B37:Q37"/>
    <mergeCell ref="B39:Q39"/>
    <mergeCell ref="B72:Q72"/>
    <mergeCell ref="B69:Q69"/>
    <mergeCell ref="B70:Q71"/>
    <mergeCell ref="B40:Q43"/>
    <mergeCell ref="B44:Q44"/>
    <mergeCell ref="B46:Q47"/>
    <mergeCell ref="B49:Q49"/>
    <mergeCell ref="B51:Q52"/>
    <mergeCell ref="F57:L58"/>
    <mergeCell ref="B65:Q65"/>
    <mergeCell ref="B60:Q60"/>
    <mergeCell ref="B53:Q54"/>
    <mergeCell ref="B55:Q55"/>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2.Next_Step">
                <anchor moveWithCells="1" sizeWithCells="1">
                  <from>
                    <xdr:col>7</xdr:col>
                    <xdr:colOff>749300</xdr:colOff>
                    <xdr:row>62</xdr:row>
                    <xdr:rowOff>0</xdr:rowOff>
                  </from>
                  <to>
                    <xdr:col>10</xdr:col>
                    <xdr:colOff>0</xdr:colOff>
                    <xdr:row>63</xdr:row>
                    <xdr:rowOff>139700</xdr:rowOff>
                  </to>
                </anchor>
              </controlPr>
            </control>
          </mc:Choice>
        </mc:AlternateContent>
        <mc:AlternateContent xmlns:mc="http://schemas.openxmlformats.org/markup-compatibility/2006">
          <mc:Choice Requires="x14">
            <control shapeId="1029" r:id="rId5" name="Button 5">
              <controlPr defaultSize="0" print="0" autoFill="0" autoPict="0" macro="[0]!Modul2.InclSc3">
                <anchor moveWithCells="1" sizeWithCells="1">
                  <from>
                    <xdr:col>12</xdr:col>
                    <xdr:colOff>0</xdr:colOff>
                    <xdr:row>56</xdr:row>
                    <xdr:rowOff>0</xdr:rowOff>
                  </from>
                  <to>
                    <xdr:col>14</xdr:col>
                    <xdr:colOff>0</xdr:colOff>
                    <xdr:row>57</xdr:row>
                    <xdr:rowOff>0</xdr:rowOff>
                  </to>
                </anchor>
              </controlPr>
            </control>
          </mc:Choice>
        </mc:AlternateContent>
        <mc:AlternateContent xmlns:mc="http://schemas.openxmlformats.org/markup-compatibility/2006">
          <mc:Choice Requires="x14">
            <control shapeId="1030" r:id="rId6" name="Button 6">
              <controlPr defaultSize="0" print="0" autoFill="0" autoPict="0" macro="[0]!Modul2.DInclSc3">
                <anchor moveWithCells="1" sizeWithCells="1">
                  <from>
                    <xdr:col>12</xdr:col>
                    <xdr:colOff>0</xdr:colOff>
                    <xdr:row>57</xdr:row>
                    <xdr:rowOff>0</xdr:rowOff>
                  </from>
                  <to>
                    <xdr:col>14</xdr:col>
                    <xdr:colOff>0</xdr:colOff>
                    <xdr:row>58</xdr:row>
                    <xdr:rowOff>0</xdr:rowOff>
                  </to>
                </anchor>
              </controlPr>
            </control>
          </mc:Choice>
        </mc:AlternateContent>
        <mc:AlternateContent xmlns:mc="http://schemas.openxmlformats.org/markup-compatibility/2006">
          <mc:Choice Requires="x14">
            <control shapeId="1031" r:id="rId7" name="Button 7">
              <controlPr defaultSize="0" print="0" autoFill="0" autoPict="0" macro="[0]!Modul3.RestoreAll">
                <anchor moveWithCells="1" sizeWithCells="1">
                  <from>
                    <xdr:col>8</xdr:col>
                    <xdr:colOff>0</xdr:colOff>
                    <xdr:row>66</xdr:row>
                    <xdr:rowOff>0</xdr:rowOff>
                  </from>
                  <to>
                    <xdr:col>10</xdr:col>
                    <xdr:colOff>0</xdr:colOff>
                    <xdr:row>67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EC564B-8CC7-4BFE-90D9-2B38810373F3}">
          <x14:formula1>
            <xm:f>'Drop Down'!$U$2:$U$3</xm:f>
          </x14:formula1>
          <xm:sqref>M61:M66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0FD6E-FBB3-42E0-8E34-7E57B5BE46D6}">
  <sheetPr codeName="Tabelle2">
    <tabColor theme="4"/>
  </sheetPr>
  <dimension ref="A1:J97"/>
  <sheetViews>
    <sheetView tabSelected="1" topLeftCell="A7" zoomScaleNormal="100" workbookViewId="0">
      <selection activeCell="I41" sqref="I41"/>
    </sheetView>
  </sheetViews>
  <sheetFormatPr baseColWidth="10" defaultColWidth="0" defaultRowHeight="15" zeroHeight="1"/>
  <cols>
    <col min="1" max="2" width="11" style="144" customWidth="1"/>
    <col min="3" max="3" width="27.6640625" style="144" customWidth="1"/>
    <col min="4" max="4" width="32" style="144" customWidth="1"/>
    <col min="5" max="5" width="31" style="144" customWidth="1"/>
    <col min="6" max="6" width="29" customWidth="1"/>
    <col min="7" max="7" width="15.6640625" customWidth="1"/>
    <col min="8" max="8" width="18.1640625" customWidth="1"/>
    <col min="9" max="9" width="14.1640625" customWidth="1"/>
    <col min="10" max="10" width="16.6640625" hidden="1" customWidth="1"/>
    <col min="11" max="16384" width="10" hidden="1"/>
  </cols>
  <sheetData>
    <row r="1" spans="2:9" ht="15" customHeight="1">
      <c r="F1" s="144"/>
      <c r="G1" s="144"/>
      <c r="H1" s="144"/>
      <c r="I1" s="144"/>
    </row>
    <row r="2" spans="2:9" ht="23">
      <c r="B2" s="427" t="s">
        <v>23</v>
      </c>
      <c r="C2" s="427"/>
      <c r="D2" s="427"/>
      <c r="E2" s="427"/>
      <c r="F2" s="427"/>
      <c r="G2" s="427"/>
      <c r="H2" s="427"/>
      <c r="I2" s="144"/>
    </row>
    <row r="3" spans="2:9">
      <c r="F3" s="144"/>
      <c r="G3" s="144"/>
      <c r="H3" s="144"/>
      <c r="I3" s="144"/>
    </row>
    <row r="4" spans="2:9" ht="18" thickBot="1">
      <c r="B4" s="428" t="s">
        <v>24</v>
      </c>
      <c r="C4" s="428"/>
      <c r="D4" s="428"/>
      <c r="E4" s="428"/>
      <c r="F4" s="428"/>
      <c r="G4" s="428"/>
      <c r="H4" s="428"/>
      <c r="I4" s="144"/>
    </row>
    <row r="5" spans="2:9" ht="16" thickTop="1">
      <c r="F5" s="144"/>
      <c r="G5" s="144"/>
      <c r="H5" s="144"/>
      <c r="I5" s="144"/>
    </row>
    <row r="6" spans="2:9">
      <c r="B6" s="422" t="s">
        <v>25</v>
      </c>
      <c r="C6" s="422"/>
      <c r="D6" s="422"/>
      <c r="E6" s="422"/>
      <c r="F6" s="422"/>
      <c r="G6" s="422"/>
      <c r="H6" s="422"/>
      <c r="I6" s="144"/>
    </row>
    <row r="7" spans="2:9">
      <c r="B7" s="422" t="s">
        <v>26</v>
      </c>
      <c r="C7" s="422"/>
      <c r="D7" s="422"/>
      <c r="E7" s="422"/>
      <c r="F7" s="422"/>
      <c r="G7" s="422"/>
      <c r="H7" s="422"/>
      <c r="I7" s="144"/>
    </row>
    <row r="8" spans="2:9">
      <c r="G8" s="144"/>
      <c r="I8" s="145"/>
    </row>
    <row r="9" spans="2:9">
      <c r="B9" s="425" t="s">
        <v>27</v>
      </c>
      <c r="C9" s="425"/>
      <c r="D9" s="140" t="s">
        <v>28</v>
      </c>
      <c r="E9" s="429" t="s">
        <v>29</v>
      </c>
      <c r="F9" s="430"/>
      <c r="G9" s="431"/>
      <c r="H9" s="140" t="s">
        <v>30</v>
      </c>
      <c r="I9" s="144"/>
    </row>
    <row r="10" spans="2:9">
      <c r="B10" s="426"/>
      <c r="C10" s="426"/>
      <c r="D10" s="298"/>
      <c r="E10" s="432"/>
      <c r="F10" s="433"/>
      <c r="G10" s="434"/>
      <c r="H10" s="298"/>
      <c r="I10" s="144"/>
    </row>
    <row r="11" spans="2:9">
      <c r="F11" s="144"/>
      <c r="G11" s="144"/>
      <c r="H11" s="144"/>
      <c r="I11" s="144"/>
    </row>
    <row r="12" spans="2:9">
      <c r="B12" s="422" t="s">
        <v>31</v>
      </c>
      <c r="C12" s="422"/>
      <c r="D12" s="422"/>
      <c r="E12" s="422"/>
      <c r="F12" s="422"/>
      <c r="G12" s="422"/>
      <c r="H12" s="422"/>
      <c r="I12" s="144"/>
    </row>
    <row r="13" spans="2:9">
      <c r="B13" s="422" t="s">
        <v>32</v>
      </c>
      <c r="C13" s="422"/>
      <c r="D13" s="422"/>
      <c r="E13" s="422"/>
      <c r="F13" s="422"/>
      <c r="G13" s="422"/>
      <c r="H13" s="422"/>
      <c r="I13" s="144"/>
    </row>
    <row r="14" spans="2:9">
      <c r="B14" s="422" t="s">
        <v>33</v>
      </c>
      <c r="C14" s="422"/>
      <c r="D14" s="422"/>
      <c r="E14" s="422"/>
      <c r="F14" s="422"/>
      <c r="G14" s="422"/>
      <c r="H14" s="422"/>
      <c r="I14" s="144"/>
    </row>
    <row r="15" spans="2:9">
      <c r="B15" s="422" t="s">
        <v>34</v>
      </c>
      <c r="C15" s="422"/>
      <c r="D15" s="422"/>
      <c r="E15" s="422"/>
      <c r="F15" s="422"/>
      <c r="G15" s="422"/>
      <c r="H15" s="422"/>
      <c r="I15" s="144"/>
    </row>
    <row r="16" spans="2:9">
      <c r="F16" s="144"/>
      <c r="G16" s="144"/>
      <c r="H16" s="144"/>
      <c r="I16" s="144"/>
    </row>
    <row r="17" spans="1:9" s="214" customFormat="1">
      <c r="A17" s="208"/>
      <c r="B17" s="215" t="s">
        <v>35</v>
      </c>
      <c r="C17" s="210" t="s">
        <v>36</v>
      </c>
      <c r="D17" s="209" t="s">
        <v>37</v>
      </c>
      <c r="E17" s="213" t="s">
        <v>38</v>
      </c>
      <c r="F17" s="213" t="s">
        <v>39</v>
      </c>
      <c r="G17" s="209" t="s">
        <v>40</v>
      </c>
      <c r="H17" s="213" t="s">
        <v>41</v>
      </c>
      <c r="I17" s="208"/>
    </row>
    <row r="18" spans="1:9">
      <c r="B18" s="391">
        <v>1</v>
      </c>
      <c r="C18" s="390" t="s">
        <v>1115</v>
      </c>
      <c r="D18" s="391" t="s">
        <v>613</v>
      </c>
      <c r="E18" s="391">
        <v>24000</v>
      </c>
      <c r="F18" s="391">
        <v>24000</v>
      </c>
      <c r="G18" s="392">
        <v>2500</v>
      </c>
      <c r="H18" s="391">
        <v>35</v>
      </c>
      <c r="I18" s="144"/>
    </row>
    <row r="19" spans="1:9">
      <c r="B19" s="394">
        <v>2</v>
      </c>
      <c r="C19" s="393" t="s">
        <v>1116</v>
      </c>
      <c r="D19" s="394" t="s">
        <v>613</v>
      </c>
      <c r="E19" s="394">
        <v>27000</v>
      </c>
      <c r="F19" s="394">
        <v>25000</v>
      </c>
      <c r="G19" s="395">
        <v>3000</v>
      </c>
      <c r="H19" s="394">
        <v>40</v>
      </c>
      <c r="I19" s="144"/>
    </row>
    <row r="20" spans="1:9">
      <c r="B20" s="391"/>
      <c r="C20" s="390"/>
      <c r="D20" s="391"/>
      <c r="E20" s="391"/>
      <c r="F20" s="391"/>
      <c r="G20" s="392"/>
      <c r="H20" s="391"/>
      <c r="I20" s="144"/>
    </row>
    <row r="21" spans="1:9">
      <c r="B21" s="394"/>
      <c r="C21" s="393"/>
      <c r="D21" s="394"/>
      <c r="E21" s="394"/>
      <c r="F21" s="394"/>
      <c r="G21" s="395"/>
      <c r="H21" s="394"/>
      <c r="I21" s="144"/>
    </row>
    <row r="22" spans="1:9">
      <c r="B22" s="391"/>
      <c r="C22" s="390"/>
      <c r="D22" s="391"/>
      <c r="E22" s="391"/>
      <c r="F22" s="391"/>
      <c r="G22" s="392"/>
      <c r="H22" s="391"/>
      <c r="I22" s="144"/>
    </row>
    <row r="23" spans="1:9">
      <c r="B23" s="394"/>
      <c r="C23" s="393"/>
      <c r="D23" s="394"/>
      <c r="E23" s="394"/>
      <c r="F23" s="394"/>
      <c r="G23" s="395"/>
      <c r="H23" s="394"/>
      <c r="I23" s="144"/>
    </row>
    <row r="24" spans="1:9">
      <c r="B24" s="391"/>
      <c r="C24" s="390"/>
      <c r="D24" s="391"/>
      <c r="E24" s="391"/>
      <c r="F24" s="391"/>
      <c r="G24" s="392"/>
      <c r="H24" s="391"/>
      <c r="I24" s="144"/>
    </row>
    <row r="25" spans="1:9">
      <c r="B25" s="394"/>
      <c r="C25" s="393"/>
      <c r="D25" s="394"/>
      <c r="E25" s="394"/>
      <c r="F25" s="394"/>
      <c r="G25" s="395"/>
      <c r="H25" s="394"/>
      <c r="I25" s="144"/>
    </row>
    <row r="26" spans="1:9">
      <c r="B26" s="391"/>
      <c r="C26" s="390"/>
      <c r="D26" s="391"/>
      <c r="E26" s="391"/>
      <c r="F26" s="391"/>
      <c r="G26" s="392"/>
      <c r="H26" s="391"/>
      <c r="I26" s="144"/>
    </row>
    <row r="27" spans="1:9">
      <c r="B27" s="394"/>
      <c r="C27" s="393"/>
      <c r="D27" s="394"/>
      <c r="E27" s="394"/>
      <c r="F27" s="394"/>
      <c r="G27" s="395"/>
      <c r="H27" s="394"/>
      <c r="I27" s="144"/>
    </row>
    <row r="28" spans="1:9">
      <c r="B28" s="391"/>
      <c r="C28" s="390"/>
      <c r="D28" s="391"/>
      <c r="E28" s="391"/>
      <c r="F28" s="391"/>
      <c r="G28" s="392"/>
      <c r="H28" s="391"/>
      <c r="I28" s="144"/>
    </row>
    <row r="29" spans="1:9">
      <c r="B29" s="394"/>
      <c r="C29" s="393"/>
      <c r="D29" s="394"/>
      <c r="E29" s="394"/>
      <c r="F29" s="394"/>
      <c r="G29" s="395"/>
      <c r="H29" s="394"/>
      <c r="I29" s="144"/>
    </row>
    <row r="30" spans="1:9">
      <c r="B30" s="391"/>
      <c r="C30" s="390"/>
      <c r="D30" s="391"/>
      <c r="E30" s="391"/>
      <c r="F30" s="391"/>
      <c r="G30" s="392"/>
      <c r="H30" s="391"/>
      <c r="I30" s="144"/>
    </row>
    <row r="31" spans="1:9">
      <c r="B31" s="394"/>
      <c r="C31" s="393"/>
      <c r="D31" s="394"/>
      <c r="E31" s="394"/>
      <c r="F31" s="394"/>
      <c r="G31" s="395"/>
      <c r="H31" s="394"/>
      <c r="I31" s="144"/>
    </row>
    <row r="32" spans="1:9">
      <c r="B32" s="391"/>
      <c r="C32" s="390"/>
      <c r="D32" s="391"/>
      <c r="E32" s="391"/>
      <c r="F32" s="391"/>
      <c r="G32" s="392"/>
      <c r="H32" s="391"/>
      <c r="I32" s="144"/>
    </row>
    <row r="33" spans="1:9">
      <c r="B33" s="394"/>
      <c r="C33" s="393"/>
      <c r="D33" s="394"/>
      <c r="E33" s="394"/>
      <c r="F33" s="394"/>
      <c r="G33" s="395"/>
      <c r="H33" s="394"/>
      <c r="I33" s="144"/>
    </row>
    <row r="34" spans="1:9">
      <c r="B34" s="391"/>
      <c r="C34" s="390"/>
      <c r="D34" s="391"/>
      <c r="E34" s="391"/>
      <c r="F34" s="391"/>
      <c r="G34" s="392"/>
      <c r="H34" s="391"/>
      <c r="I34" s="144"/>
    </row>
    <row r="35" spans="1:9">
      <c r="B35" s="394"/>
      <c r="C35" s="393"/>
      <c r="D35" s="394"/>
      <c r="E35" s="394"/>
      <c r="F35" s="394"/>
      <c r="G35" s="395"/>
      <c r="H35" s="394"/>
      <c r="I35" s="144"/>
    </row>
    <row r="36" spans="1:9">
      <c r="B36" s="391"/>
      <c r="C36" s="390"/>
      <c r="D36" s="391"/>
      <c r="E36" s="391"/>
      <c r="F36" s="391"/>
      <c r="G36" s="392"/>
      <c r="H36" s="391"/>
      <c r="I36" s="144"/>
    </row>
    <row r="37" spans="1:9">
      <c r="B37" s="394"/>
      <c r="C37" s="393"/>
      <c r="D37" s="394"/>
      <c r="E37" s="394"/>
      <c r="F37" s="394"/>
      <c r="G37" s="395"/>
      <c r="H37" s="394"/>
      <c r="I37" s="144"/>
    </row>
    <row r="38" spans="1:9">
      <c r="B38" s="391"/>
      <c r="C38" s="390"/>
      <c r="D38" s="391"/>
      <c r="E38" s="391"/>
      <c r="F38" s="391"/>
      <c r="G38" s="392"/>
      <c r="H38" s="391"/>
      <c r="I38" s="144"/>
    </row>
    <row r="39" spans="1:9">
      <c r="B39" s="394"/>
      <c r="C39" s="393"/>
      <c r="D39" s="394"/>
      <c r="E39" s="394"/>
      <c r="F39" s="394"/>
      <c r="G39" s="395"/>
      <c r="H39" s="394"/>
      <c r="I39" s="144"/>
    </row>
    <row r="40" spans="1:9">
      <c r="B40" s="391"/>
      <c r="C40" s="390"/>
      <c r="D40" s="391"/>
      <c r="E40" s="391"/>
      <c r="F40" s="391"/>
      <c r="G40" s="392"/>
      <c r="H40" s="391"/>
      <c r="I40" s="144"/>
    </row>
    <row r="41" spans="1:9">
      <c r="B41" s="394"/>
      <c r="C41" s="393"/>
      <c r="D41" s="394"/>
      <c r="E41" s="394"/>
      <c r="F41" s="394"/>
      <c r="G41" s="395"/>
      <c r="H41" s="394"/>
      <c r="I41" s="144"/>
    </row>
    <row r="42" spans="1:9">
      <c r="B42" s="391"/>
      <c r="C42" s="390"/>
      <c r="D42" s="391"/>
      <c r="E42" s="391"/>
      <c r="F42" s="391"/>
      <c r="G42" s="392"/>
      <c r="H42" s="391"/>
      <c r="I42" s="144"/>
    </row>
    <row r="43" spans="1:9">
      <c r="B43" s="394"/>
      <c r="C43" s="393"/>
      <c r="D43" s="394"/>
      <c r="E43" s="394"/>
      <c r="F43" s="394"/>
      <c r="G43" s="395"/>
      <c r="H43" s="394"/>
      <c r="I43" s="144"/>
    </row>
    <row r="44" spans="1:9" ht="16" thickBot="1">
      <c r="B44" s="391">
        <v>3</v>
      </c>
      <c r="C44" s="390" t="s">
        <v>1117</v>
      </c>
      <c r="D44" s="391" t="s">
        <v>623</v>
      </c>
      <c r="E44" s="391">
        <v>15000</v>
      </c>
      <c r="F44" s="396">
        <v>18000</v>
      </c>
      <c r="G44" s="397">
        <v>800</v>
      </c>
      <c r="H44" s="396">
        <v>20</v>
      </c>
      <c r="I44" s="144"/>
    </row>
    <row r="45" spans="1:9" ht="16" thickBot="1">
      <c r="F45" s="296">
        <f>SUM(F18:F44)</f>
        <v>67000</v>
      </c>
      <c r="G45" s="328">
        <f>SUM(G18:G44)</f>
        <v>6300</v>
      </c>
      <c r="H45" s="297">
        <f>SUM(H18:H44)</f>
        <v>95</v>
      </c>
      <c r="I45" s="144"/>
    </row>
    <row r="46" spans="1:9">
      <c r="A46"/>
      <c r="F46" s="144"/>
      <c r="G46" s="144"/>
      <c r="H46" s="144"/>
    </row>
    <row r="47" spans="1:9">
      <c r="F47" s="144"/>
      <c r="G47" s="144"/>
      <c r="H47" s="144"/>
      <c r="I47" s="144"/>
    </row>
    <row r="48" spans="1:9">
      <c r="F48" s="144"/>
      <c r="G48" s="144"/>
      <c r="H48" s="144"/>
      <c r="I48" s="144"/>
    </row>
    <row r="49" spans="6:9">
      <c r="F49" s="144"/>
      <c r="G49" s="144"/>
      <c r="H49" s="144"/>
      <c r="I49" s="144"/>
    </row>
    <row r="50" spans="6:9">
      <c r="F50" s="144"/>
      <c r="G50" s="144"/>
      <c r="H50" s="144"/>
      <c r="I50" s="144"/>
    </row>
    <row r="51" spans="6:9">
      <c r="F51" s="144"/>
      <c r="G51" s="144"/>
      <c r="H51" s="144"/>
      <c r="I51" s="144"/>
    </row>
    <row r="52" spans="6:9">
      <c r="F52" s="144"/>
      <c r="G52" s="144"/>
      <c r="H52" s="144"/>
      <c r="I52" s="144"/>
    </row>
    <row r="53" spans="6:9">
      <c r="F53" s="144"/>
      <c r="G53" s="144"/>
      <c r="H53" s="144"/>
      <c r="I53" s="144"/>
    </row>
    <row r="54" spans="6:9">
      <c r="F54" s="144"/>
      <c r="G54" s="144"/>
      <c r="H54" s="144"/>
      <c r="I54" s="144"/>
    </row>
    <row r="55" spans="6:9">
      <c r="F55" s="144"/>
      <c r="G55" s="144"/>
      <c r="H55" s="144"/>
      <c r="I55" s="144"/>
    </row>
    <row r="56" spans="6:9">
      <c r="F56" s="144"/>
      <c r="G56" s="144"/>
      <c r="H56" s="144"/>
      <c r="I56" s="144"/>
    </row>
    <row r="57" spans="6:9">
      <c r="F57" s="144"/>
      <c r="G57" s="144"/>
      <c r="H57" s="144"/>
      <c r="I57" s="144"/>
    </row>
    <row r="58" spans="6:9">
      <c r="F58" s="144"/>
      <c r="G58" s="144"/>
      <c r="H58" s="144"/>
      <c r="I58" s="144"/>
    </row>
    <row r="59" spans="6:9">
      <c r="F59" s="144"/>
      <c r="G59" s="144"/>
      <c r="H59" s="144"/>
      <c r="I59" s="144"/>
    </row>
    <row r="60" spans="6:9">
      <c r="F60" s="144"/>
      <c r="G60" s="144"/>
      <c r="H60" s="144"/>
      <c r="I60" s="144"/>
    </row>
    <row r="61" spans="6:9">
      <c r="F61" s="144"/>
      <c r="G61" s="144"/>
      <c r="H61" s="144"/>
      <c r="I61" s="144"/>
    </row>
    <row r="62" spans="6:9">
      <c r="F62" s="144"/>
      <c r="G62" s="144"/>
      <c r="H62" s="144"/>
      <c r="I62" s="144"/>
    </row>
    <row r="63" spans="6:9">
      <c r="F63" s="144"/>
      <c r="G63" s="144"/>
      <c r="H63" s="144"/>
      <c r="I63" s="144"/>
    </row>
    <row r="64" spans="6:9">
      <c r="F64" s="144"/>
      <c r="G64" s="144"/>
      <c r="H64" s="144"/>
      <c r="I64" s="144"/>
    </row>
    <row r="65" spans="6:9">
      <c r="F65" s="144"/>
      <c r="G65" s="144"/>
      <c r="H65" s="144"/>
      <c r="I65" s="144"/>
    </row>
    <row r="66" spans="6:9">
      <c r="F66" s="144"/>
      <c r="G66" s="144"/>
      <c r="H66" s="144"/>
      <c r="I66" s="144"/>
    </row>
    <row r="67" spans="6:9">
      <c r="F67" s="144"/>
      <c r="G67" s="144"/>
      <c r="H67" s="144"/>
      <c r="I67" s="144"/>
    </row>
    <row r="68" spans="6:9">
      <c r="F68" s="144"/>
      <c r="G68" s="144"/>
      <c r="H68" s="144"/>
      <c r="I68" s="144"/>
    </row>
    <row r="69" spans="6:9">
      <c r="F69" s="144"/>
      <c r="G69" s="144"/>
      <c r="H69" s="144"/>
      <c r="I69" s="144"/>
    </row>
    <row r="70" spans="6:9">
      <c r="F70" s="144"/>
      <c r="G70" s="144"/>
      <c r="H70" s="144"/>
      <c r="I70" s="144"/>
    </row>
    <row r="71" spans="6:9">
      <c r="F71" s="144"/>
      <c r="G71" s="144"/>
      <c r="H71" s="144"/>
      <c r="I71" s="144"/>
    </row>
    <row r="72" spans="6:9">
      <c r="F72" s="144"/>
      <c r="G72" s="144"/>
      <c r="H72" s="144"/>
      <c r="I72" s="144"/>
    </row>
    <row r="73" spans="6:9">
      <c r="F73" s="144"/>
      <c r="G73" s="144"/>
      <c r="H73" s="144"/>
      <c r="I73" s="144"/>
    </row>
    <row r="74" spans="6:9">
      <c r="F74" s="144"/>
      <c r="G74" s="144"/>
      <c r="H74" s="144"/>
      <c r="I74" s="144"/>
    </row>
    <row r="75" spans="6:9">
      <c r="F75" s="144"/>
      <c r="G75" s="144"/>
      <c r="H75" s="144"/>
      <c r="I75" s="144"/>
    </row>
    <row r="76" spans="6:9">
      <c r="F76" s="144"/>
      <c r="G76" s="144"/>
      <c r="H76" s="144"/>
      <c r="I76" s="144"/>
    </row>
    <row r="77" spans="6:9">
      <c r="F77" s="144"/>
      <c r="G77" s="144"/>
      <c r="H77" s="144"/>
      <c r="I77" s="144"/>
    </row>
    <row r="78" spans="6:9">
      <c r="F78" s="144"/>
      <c r="G78" s="144"/>
      <c r="H78" s="144"/>
      <c r="I78" s="144"/>
    </row>
    <row r="79" spans="6:9">
      <c r="F79" s="144"/>
      <c r="G79" s="144"/>
      <c r="H79" s="144"/>
      <c r="I79" s="144"/>
    </row>
    <row r="80" spans="6:9">
      <c r="F80" s="144"/>
      <c r="G80" s="144"/>
      <c r="H80" s="144"/>
      <c r="I80" s="144"/>
    </row>
    <row r="81" spans="6:9">
      <c r="F81" s="144"/>
      <c r="G81" s="144"/>
      <c r="H81" s="144"/>
      <c r="I81" s="144"/>
    </row>
    <row r="82" spans="6:9">
      <c r="F82" s="144"/>
      <c r="G82" s="144"/>
      <c r="H82" s="144"/>
      <c r="I82" s="144"/>
    </row>
    <row r="83" spans="6:9">
      <c r="F83" s="144"/>
      <c r="G83" s="144"/>
      <c r="H83" s="144"/>
      <c r="I83" s="144"/>
    </row>
    <row r="84" spans="6:9">
      <c r="F84" s="144"/>
      <c r="G84" s="144"/>
      <c r="H84" s="144"/>
      <c r="I84" s="144"/>
    </row>
    <row r="85" spans="6:9">
      <c r="F85" s="144"/>
      <c r="G85" s="144"/>
      <c r="H85" s="144"/>
      <c r="I85" s="144"/>
    </row>
    <row r="86" spans="6:9">
      <c r="F86" s="144"/>
      <c r="G86" s="144"/>
      <c r="H86" s="144"/>
      <c r="I86" s="144"/>
    </row>
    <row r="87" spans="6:9">
      <c r="F87" s="144"/>
      <c r="G87" s="144"/>
      <c r="H87" s="144"/>
      <c r="I87" s="144"/>
    </row>
    <row r="88" spans="6:9">
      <c r="F88" s="144"/>
      <c r="G88" s="144"/>
      <c r="H88" s="144"/>
      <c r="I88" s="144"/>
    </row>
    <row r="89" spans="6:9">
      <c r="F89" s="144"/>
      <c r="G89" s="144"/>
      <c r="H89" s="144"/>
      <c r="I89" s="144"/>
    </row>
    <row r="90" spans="6:9">
      <c r="F90" s="144"/>
      <c r="G90" s="144"/>
      <c r="H90" s="144"/>
      <c r="I90" s="144"/>
    </row>
    <row r="91" spans="6:9">
      <c r="F91" s="144"/>
      <c r="G91" s="144"/>
      <c r="H91" s="144"/>
      <c r="I91" s="144"/>
    </row>
    <row r="92" spans="6:9">
      <c r="F92" s="144"/>
      <c r="G92" s="144"/>
      <c r="H92" s="144"/>
      <c r="I92" s="144"/>
    </row>
    <row r="93" spans="6:9">
      <c r="F93" s="144"/>
      <c r="G93" s="144"/>
      <c r="H93" s="144"/>
      <c r="I93" s="144"/>
    </row>
    <row r="94" spans="6:9">
      <c r="F94" s="144"/>
      <c r="G94" s="144"/>
      <c r="H94" s="144"/>
      <c r="I94" s="144"/>
    </row>
    <row r="95" spans="6:9">
      <c r="F95" s="144"/>
      <c r="G95" s="144"/>
      <c r="H95" s="144"/>
      <c r="I95" s="144"/>
    </row>
    <row r="96" spans="6:9">
      <c r="F96" s="144"/>
      <c r="G96" s="144"/>
      <c r="H96" s="144"/>
      <c r="I96" s="144"/>
    </row>
    <row r="97" spans="6:9">
      <c r="F97" s="144"/>
      <c r="G97" s="144"/>
      <c r="H97" s="144"/>
      <c r="I97" s="144"/>
    </row>
  </sheetData>
  <sheetProtection algorithmName="SHA-512" hashValue="OFOOD7m5fwKdRi17bknS0nFSR3IZI2QMR5K7jIWZgFPS1xDIn79jrs3jwdpbSYTn+ukXiowDBpBTPjfaTqZ3nw==" saltValue="gUdeXnaRoY1ccwu7Kusrbw==" spinCount="100000" sheet="1" objects="1" scenarios="1"/>
  <mergeCells count="12">
    <mergeCell ref="B14:H14"/>
    <mergeCell ref="B15:H15"/>
    <mergeCell ref="B9:C9"/>
    <mergeCell ref="B10:C10"/>
    <mergeCell ref="B2:H2"/>
    <mergeCell ref="B4:H4"/>
    <mergeCell ref="B6:H6"/>
    <mergeCell ref="B7:H7"/>
    <mergeCell ref="B12:H12"/>
    <mergeCell ref="B13:H13"/>
    <mergeCell ref="E9:G9"/>
    <mergeCell ref="E10:G10"/>
  </mergeCell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6A4C398C-27EC-4A0D-B92A-29C7056866FC}">
          <x14:formula1>
            <xm:f>'Drop Down'!$I$2:$I$28</xm:f>
          </x14:formula1>
          <xm:sqref>D18:D44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C4B7-57BA-4F48-BEC8-39BF7F4C877A}">
  <sheetPr codeName="Tabelle5">
    <tabColor theme="7"/>
  </sheetPr>
  <dimension ref="A1:N75"/>
  <sheetViews>
    <sheetView workbookViewId="0">
      <selection activeCell="B2" sqref="B2"/>
    </sheetView>
  </sheetViews>
  <sheetFormatPr baseColWidth="10" defaultColWidth="0" defaultRowHeight="15" customHeight="1" zeroHeight="1"/>
  <cols>
    <col min="1" max="2" width="11" customWidth="1"/>
    <col min="3" max="3" width="27.6640625" customWidth="1"/>
    <col min="4" max="4" width="32" customWidth="1"/>
    <col min="5" max="6" width="28.5" customWidth="1"/>
    <col min="7" max="7" width="11" customWidth="1"/>
    <col min="8" max="8" width="26" hidden="1" customWidth="1"/>
    <col min="9" max="9" width="28.5" hidden="1" customWidth="1"/>
    <col min="10" max="10" width="14.6640625" hidden="1" customWidth="1"/>
    <col min="11" max="11" width="11" hidden="1" customWidth="1"/>
    <col min="12" max="12" width="28.1640625" hidden="1" customWidth="1"/>
    <col min="13" max="13" width="25" hidden="1" customWidth="1"/>
    <col min="14" max="14" width="27" hidden="1" customWidth="1"/>
  </cols>
  <sheetData>
    <row r="1" spans="1:11">
      <c r="A1" s="144"/>
      <c r="B1" s="144"/>
      <c r="C1" s="144"/>
      <c r="D1" s="144"/>
      <c r="E1" s="144"/>
      <c r="F1" s="144"/>
      <c r="G1" s="144"/>
      <c r="H1" s="144"/>
      <c r="I1" s="144"/>
      <c r="J1" s="144"/>
      <c r="K1" s="144"/>
    </row>
    <row r="2" spans="1:11" ht="23">
      <c r="A2" s="144"/>
      <c r="B2" s="144"/>
      <c r="C2" s="427" t="s">
        <v>42</v>
      </c>
      <c r="D2" s="427"/>
      <c r="E2" s="427"/>
      <c r="F2" s="357"/>
      <c r="G2" s="362"/>
      <c r="H2" s="361"/>
      <c r="I2" s="361"/>
      <c r="J2" s="144"/>
      <c r="K2" s="144"/>
    </row>
    <row r="3" spans="1:11">
      <c r="A3" s="144"/>
      <c r="B3" s="208"/>
      <c r="C3" s="208"/>
      <c r="D3" s="208"/>
      <c r="E3" s="208"/>
      <c r="F3" s="208"/>
      <c r="G3" s="144"/>
      <c r="I3" s="144"/>
      <c r="J3" s="144"/>
      <c r="K3" s="144"/>
    </row>
    <row r="4" spans="1:11" ht="17">
      <c r="A4" s="144"/>
      <c r="B4" s="438" t="s">
        <v>43</v>
      </c>
      <c r="C4" s="438"/>
      <c r="D4" s="438"/>
      <c r="E4" s="438"/>
      <c r="F4" s="438"/>
      <c r="G4" s="144"/>
      <c r="I4" s="144"/>
      <c r="J4" s="144"/>
      <c r="K4" s="144"/>
    </row>
    <row r="5" spans="1:11">
      <c r="A5" s="144"/>
      <c r="B5" s="422"/>
      <c r="C5" s="422"/>
      <c r="D5" s="422"/>
      <c r="E5" s="422"/>
      <c r="F5" s="422"/>
      <c r="G5" s="144"/>
      <c r="H5" s="144"/>
      <c r="I5" s="144"/>
      <c r="J5" s="144"/>
      <c r="K5" s="144"/>
    </row>
    <row r="6" spans="1:11">
      <c r="A6" s="144"/>
      <c r="B6" s="422" t="s">
        <v>44</v>
      </c>
      <c r="C6" s="422"/>
      <c r="D6" s="422"/>
      <c r="E6" s="422"/>
      <c r="F6" s="422"/>
      <c r="G6" s="144"/>
      <c r="H6" s="144"/>
      <c r="I6" s="144"/>
      <c r="J6" s="144"/>
      <c r="K6" s="144"/>
    </row>
    <row r="7" spans="1:11">
      <c r="A7" s="144"/>
      <c r="B7" s="422" t="s">
        <v>45</v>
      </c>
      <c r="C7" s="422"/>
      <c r="D7" s="422"/>
      <c r="E7" s="422"/>
      <c r="F7" s="422"/>
      <c r="G7" s="144"/>
      <c r="H7" s="144"/>
      <c r="I7" s="144"/>
      <c r="J7" s="144"/>
      <c r="K7" s="144"/>
    </row>
    <row r="8" spans="1:11">
      <c r="A8" s="144"/>
      <c r="B8" s="422" t="s">
        <v>46</v>
      </c>
      <c r="C8" s="422"/>
      <c r="D8" s="422"/>
      <c r="E8" s="422"/>
      <c r="F8" s="422"/>
      <c r="G8" s="144"/>
      <c r="H8" s="144"/>
      <c r="I8" s="144"/>
      <c r="J8" s="144"/>
      <c r="K8" s="144"/>
    </row>
    <row r="9" spans="1:11" ht="15" customHeight="1">
      <c r="B9" s="413" t="s">
        <v>47</v>
      </c>
      <c r="C9" s="413"/>
      <c r="D9" s="413"/>
      <c r="E9" s="413"/>
      <c r="F9" s="413"/>
      <c r="G9" s="144"/>
      <c r="H9" s="144"/>
      <c r="I9" s="144"/>
      <c r="J9" s="144"/>
      <c r="K9" s="144"/>
    </row>
    <row r="10" spans="1:11">
      <c r="A10" s="144"/>
      <c r="B10" s="437"/>
      <c r="C10" s="437"/>
      <c r="D10" s="437"/>
      <c r="E10" s="437"/>
      <c r="F10" s="437"/>
      <c r="G10" s="144"/>
      <c r="H10" s="144"/>
      <c r="I10" s="144"/>
      <c r="J10" s="144"/>
      <c r="K10" s="144"/>
    </row>
    <row r="11" spans="1:11" s="214" customFormat="1">
      <c r="A11" s="208"/>
      <c r="B11" s="215" t="s">
        <v>35</v>
      </c>
      <c r="C11" s="210" t="s">
        <v>36</v>
      </c>
      <c r="D11" s="213" t="s">
        <v>48</v>
      </c>
      <c r="E11" s="213" t="s">
        <v>49</v>
      </c>
      <c r="F11" s="213" t="s">
        <v>50</v>
      </c>
      <c r="G11" s="208"/>
    </row>
    <row r="12" spans="1:11">
      <c r="A12" s="144"/>
      <c r="B12" s="299" t="str">
        <f>IF(ISBLANK(C12),"",_xlfn.XLOOKUP($C12,'General Information'!$C$18:$C$44,'General Information'!$B$18:$B$44,""))</f>
        <v/>
      </c>
      <c r="C12" s="379" t="s">
        <v>51</v>
      </c>
      <c r="D12" s="380" t="s">
        <v>51</v>
      </c>
      <c r="E12" s="381"/>
      <c r="F12" s="142" t="str">
        <f>IF(ISBLANK(E12),"",_xlfn.XLOOKUP(D12,Data!$K$6:$K$15,Data!$M$6:$M$15))</f>
        <v/>
      </c>
      <c r="G12" s="144"/>
    </row>
    <row r="13" spans="1:11">
      <c r="A13" s="144"/>
      <c r="B13" s="300" t="str">
        <f>IF(ISBLANK(C13),"",_xlfn.XLOOKUP($C13,'General Information'!$C$18:$C$44,'General Information'!$B$18:$B$44,""))</f>
        <v/>
      </c>
      <c r="C13" s="382"/>
      <c r="D13" s="383"/>
      <c r="E13" s="384"/>
      <c r="F13" s="141" t="str">
        <f>IF(ISBLANK(E13),"",_xlfn.XLOOKUP(D13,Data!$K$6:$K$15,Data!$M$6:$M$15))</f>
        <v/>
      </c>
      <c r="G13" s="144"/>
    </row>
    <row r="14" spans="1:11">
      <c r="A14" s="144"/>
      <c r="B14" s="299" t="str">
        <f>IF(ISBLANK(C14),"",_xlfn.XLOOKUP($C14,'General Information'!$C$18:$C$44,'General Information'!$B$18:$B$44,""))</f>
        <v/>
      </c>
      <c r="C14" s="379"/>
      <c r="D14" s="380"/>
      <c r="E14" s="381"/>
      <c r="F14" s="142" t="str">
        <f>IF(ISBLANK(E14),"",_xlfn.XLOOKUP(D14,Data!$K$6:$K$15,Data!$M$6:$M$15))</f>
        <v/>
      </c>
      <c r="G14" s="144"/>
    </row>
    <row r="15" spans="1:11">
      <c r="A15" s="144"/>
      <c r="B15" s="300" t="str">
        <f>IF(ISBLANK(C15),"",_xlfn.XLOOKUP($C15,'General Information'!$C$18:$C$44,'General Information'!$B$18:$B$44,""))</f>
        <v/>
      </c>
      <c r="C15" s="382"/>
      <c r="D15" s="383"/>
      <c r="E15" s="384"/>
      <c r="F15" s="141" t="str">
        <f>IF(ISBLANK(E15),"",_xlfn.XLOOKUP(D15,Data!$K$6:$K$15,Data!$M$6:$M$15))</f>
        <v/>
      </c>
      <c r="G15" s="144"/>
    </row>
    <row r="16" spans="1:11">
      <c r="A16" s="144"/>
      <c r="B16" s="299" t="str">
        <f>IF(ISBLANK(C16),"",_xlfn.XLOOKUP($C16,'General Information'!$C$18:$C$44,'General Information'!$B$18:$B$44,""))</f>
        <v/>
      </c>
      <c r="C16" s="379"/>
      <c r="D16" s="380"/>
      <c r="E16" s="381"/>
      <c r="F16" s="142" t="str">
        <f>IF(ISBLANK(E16),"",_xlfn.XLOOKUP(D16,Data!$K$6:$K$15,Data!$M$6:$M$15))</f>
        <v/>
      </c>
      <c r="G16" s="144"/>
    </row>
    <row r="17" spans="1:7">
      <c r="A17" s="144"/>
      <c r="B17" s="300" t="str">
        <f>IF(ISBLANK(C17),"",_xlfn.XLOOKUP($C17,'General Information'!$C$18:$C$44,'General Information'!$B$18:$B$44,""))</f>
        <v/>
      </c>
      <c r="C17" s="382"/>
      <c r="D17" s="383"/>
      <c r="E17" s="384"/>
      <c r="F17" s="141" t="str">
        <f>IF(ISBLANK(E17),"",_xlfn.XLOOKUP(D17,Data!$K$6:$K$15,Data!$M$6:$M$15))</f>
        <v/>
      </c>
      <c r="G17" s="144"/>
    </row>
    <row r="18" spans="1:7">
      <c r="A18" s="144"/>
      <c r="B18" s="299" t="str">
        <f>IF(ISBLANK(C18),"",_xlfn.XLOOKUP($C18,'General Information'!$C$18:$C$44,'General Information'!$B$18:$B$44,""))</f>
        <v/>
      </c>
      <c r="C18" s="379"/>
      <c r="D18" s="380"/>
      <c r="E18" s="381"/>
      <c r="F18" s="142" t="str">
        <f>IF(ISBLANK(E18),"",_xlfn.XLOOKUP(D18,Data!$K$6:$K$15,Data!$M$6:$M$15))</f>
        <v/>
      </c>
      <c r="G18" s="144"/>
    </row>
    <row r="19" spans="1:7">
      <c r="A19" s="144"/>
      <c r="B19" s="300" t="str">
        <f>IF(ISBLANK(C19),"",_xlfn.XLOOKUP($C19,'General Information'!$C$18:$C$44,'General Information'!$B$18:$B$44,""))</f>
        <v/>
      </c>
      <c r="C19" s="382"/>
      <c r="D19" s="383"/>
      <c r="E19" s="384"/>
      <c r="F19" s="141" t="str">
        <f>IF(ISBLANK(E19),"",_xlfn.XLOOKUP(D19,Data!$K$6:$K$15,Data!$M$6:$M$15))</f>
        <v/>
      </c>
      <c r="G19" s="144"/>
    </row>
    <row r="20" spans="1:7">
      <c r="A20" s="144"/>
      <c r="B20" s="299" t="str">
        <f>IF(ISBLANK(C20),"",_xlfn.XLOOKUP($C20,'General Information'!$C$18:$C$44,'General Information'!$B$18:$B$44,""))</f>
        <v/>
      </c>
      <c r="C20" s="379"/>
      <c r="D20" s="380"/>
      <c r="E20" s="381"/>
      <c r="F20" s="142" t="str">
        <f>IF(ISBLANK(E20),"",_xlfn.XLOOKUP(D20,Data!$K$6:$K$15,Data!$M$6:$M$15))</f>
        <v/>
      </c>
      <c r="G20" s="144"/>
    </row>
    <row r="21" spans="1:7">
      <c r="A21" s="144"/>
      <c r="B21" s="300" t="str">
        <f>IF(ISBLANK(C21),"",_xlfn.XLOOKUP($C21,'General Information'!$C$18:$C$44,'General Information'!$B$18:$B$44,""))</f>
        <v/>
      </c>
      <c r="C21" s="382"/>
      <c r="D21" s="383"/>
      <c r="E21" s="384"/>
      <c r="F21" s="141" t="str">
        <f>IF(ISBLANK(E21),"",_xlfn.XLOOKUP(D21,Data!$K$6:$K$15,Data!$M$6:$M$15))</f>
        <v/>
      </c>
      <c r="G21" s="144"/>
    </row>
    <row r="22" spans="1:7">
      <c r="A22" s="144"/>
      <c r="B22" s="299" t="str">
        <f>IF(ISBLANK(C22),"",_xlfn.XLOOKUP($C22,'General Information'!$C$18:$C$44,'General Information'!$B$18:$B$44,""))</f>
        <v/>
      </c>
      <c r="C22" s="379"/>
      <c r="D22" s="380"/>
      <c r="E22" s="381"/>
      <c r="F22" s="142"/>
      <c r="G22" s="144"/>
    </row>
    <row r="23" spans="1:7">
      <c r="A23" s="144"/>
      <c r="B23" s="300" t="str">
        <f>IF(ISBLANK(C23),"",_xlfn.XLOOKUP($C23,'General Information'!$C$18:$C$44,'General Information'!$B$18:$B$44,""))</f>
        <v/>
      </c>
      <c r="C23" s="382"/>
      <c r="D23" s="383"/>
      <c r="E23" s="384"/>
      <c r="F23" s="141" t="str">
        <f>IF(ISBLANK(E23),"",_xlfn.XLOOKUP(D23,Data!$K$6:$K$15,Data!$M$6:$M$15))</f>
        <v/>
      </c>
      <c r="G23" s="144"/>
    </row>
    <row r="24" spans="1:7">
      <c r="A24" s="144"/>
      <c r="B24" s="299" t="str">
        <f>IF(ISBLANK(C24),"",_xlfn.XLOOKUP($C24,'General Information'!$C$18:$C$44,'General Information'!$B$18:$B$44,""))</f>
        <v/>
      </c>
      <c r="C24" s="379"/>
      <c r="D24" s="380"/>
      <c r="E24" s="381"/>
      <c r="F24" s="142" t="str">
        <f>IF(ISBLANK(E24),"",_xlfn.XLOOKUP(D24,Data!$K$6:$K$15,Data!$M$6:$M$15))</f>
        <v/>
      </c>
      <c r="G24" s="144"/>
    </row>
    <row r="25" spans="1:7">
      <c r="A25" s="144"/>
      <c r="B25" s="300" t="str">
        <f>IF(ISBLANK(C25),"",_xlfn.XLOOKUP($C25,'General Information'!$C$18:$C$44,'General Information'!$B$18:$B$44,""))</f>
        <v/>
      </c>
      <c r="C25" s="382"/>
      <c r="D25" s="383"/>
      <c r="E25" s="384"/>
      <c r="F25" s="141" t="str">
        <f>IF(ISBLANK(E25),"",_xlfn.XLOOKUP(D25,Data!$K$6:$K$15,Data!$M$6:$M$15))</f>
        <v/>
      </c>
      <c r="G25" s="144"/>
    </row>
    <row r="26" spans="1:7">
      <c r="A26" s="144"/>
      <c r="B26" s="299" t="str">
        <f>IF(ISBLANK(C26),"",_xlfn.XLOOKUP($C26,'General Information'!$C$18:$C$44,'General Information'!$B$18:$B$44,""))</f>
        <v/>
      </c>
      <c r="C26" s="379"/>
      <c r="D26" s="380"/>
      <c r="E26" s="381"/>
      <c r="F26" s="142" t="str">
        <f>IF(ISBLANK(E26),"",_xlfn.XLOOKUP(D26,Data!$K$6:$K$15,Data!$M$6:$M$15))</f>
        <v/>
      </c>
      <c r="G26" s="144"/>
    </row>
    <row r="27" spans="1:7">
      <c r="A27" s="144"/>
      <c r="B27" s="300" t="str">
        <f>IF(ISBLANK(C27),"",_xlfn.XLOOKUP($C27,'General Information'!$C$18:$C$44,'General Information'!$B$18:$B$44,""))</f>
        <v/>
      </c>
      <c r="C27" s="382"/>
      <c r="D27" s="383"/>
      <c r="E27" s="384"/>
      <c r="F27" s="141" t="str">
        <f>IF(ISBLANK(E27),"",_xlfn.XLOOKUP(D27,Data!$K$6:$K$15,Data!$M$6:$M$15))</f>
        <v/>
      </c>
      <c r="G27" s="144"/>
    </row>
    <row r="28" spans="1:7">
      <c r="A28" s="144"/>
      <c r="B28" s="299" t="str">
        <f>IF(ISBLANK(C28),"",_xlfn.XLOOKUP($C28,'General Information'!$C$18:$C$44,'General Information'!$B$18:$B$44,""))</f>
        <v/>
      </c>
      <c r="C28" s="379"/>
      <c r="D28" s="380"/>
      <c r="E28" s="381"/>
      <c r="F28" s="142" t="str">
        <f>IF(ISBLANK(E28),"",_xlfn.XLOOKUP(D28,Data!$K$6:$K$15,Data!$M$6:$M$15))</f>
        <v/>
      </c>
      <c r="G28" s="144"/>
    </row>
    <row r="29" spans="1:7">
      <c r="A29" s="144"/>
      <c r="B29" s="300" t="str">
        <f>IF(ISBLANK(C29),"",_xlfn.XLOOKUP($C29,'General Information'!$C$18:$C$44,'General Information'!$B$18:$B$44,""))</f>
        <v/>
      </c>
      <c r="C29" s="382"/>
      <c r="D29" s="383"/>
      <c r="E29" s="384"/>
      <c r="F29" s="141" t="str">
        <f>IF(ISBLANK(E29),"",_xlfn.XLOOKUP(D29,Data!$K$6:$K$15,Data!$M$6:$M$15))</f>
        <v/>
      </c>
      <c r="G29" s="144"/>
    </row>
    <row r="30" spans="1:7">
      <c r="A30" s="144"/>
      <c r="B30" s="299" t="str">
        <f>IF(ISBLANK(C30),"",_xlfn.XLOOKUP($C30,'General Information'!$C$18:$C$44,'General Information'!$B$18:$B$44,""))</f>
        <v/>
      </c>
      <c r="C30" s="379"/>
      <c r="D30" s="380"/>
      <c r="E30" s="381"/>
      <c r="F30" s="142" t="str">
        <f>IF(ISBLANK(E30),"",_xlfn.XLOOKUP(D30,Data!$K$6:$K$15,Data!$M$6:$M$15))</f>
        <v/>
      </c>
      <c r="G30" s="144"/>
    </row>
    <row r="31" spans="1:7">
      <c r="A31" s="144"/>
      <c r="B31" s="300" t="str">
        <f>IF(ISBLANK(C31),"",_xlfn.XLOOKUP($C31,'General Information'!$C$18:$C$44,'General Information'!$B$18:$B$44,""))</f>
        <v/>
      </c>
      <c r="C31" s="382"/>
      <c r="D31" s="383"/>
      <c r="E31" s="384"/>
      <c r="F31" s="141" t="str">
        <f>IF(ISBLANK(E31),"",_xlfn.XLOOKUP(D31,Data!$K$6:$K$15,Data!$M$6:$M$15))</f>
        <v/>
      </c>
      <c r="G31" s="144"/>
    </row>
    <row r="32" spans="1:7">
      <c r="A32" s="144"/>
      <c r="B32" s="299" t="str">
        <f>IF(ISBLANK(C32),"",_xlfn.XLOOKUP($C32,'General Information'!$C$18:$C$44,'General Information'!$B$18:$B$44,""))</f>
        <v/>
      </c>
      <c r="C32" s="379"/>
      <c r="D32" s="380"/>
      <c r="E32" s="381"/>
      <c r="F32" s="142" t="str">
        <f>IF(ISBLANK(E32),"",_xlfn.XLOOKUP(D32,Data!$K$6:$K$15,Data!$M$6:$M$15))</f>
        <v/>
      </c>
      <c r="G32" s="144"/>
    </row>
    <row r="33" spans="1:11">
      <c r="A33" s="144"/>
      <c r="B33" s="300" t="str">
        <f>IF(ISBLANK(C33),"",_xlfn.XLOOKUP($C33,'General Information'!$C$18:$C$44,'General Information'!$B$18:$B$44,""))</f>
        <v/>
      </c>
      <c r="C33" s="382"/>
      <c r="D33" s="383"/>
      <c r="E33" s="384"/>
      <c r="F33" s="141" t="str">
        <f>IF(ISBLANK(E33),"",_xlfn.XLOOKUP(D33,Data!$K$6:$K$15,Data!$M$6:$M$15))</f>
        <v/>
      </c>
      <c r="G33" s="144"/>
    </row>
    <row r="34" spans="1:11">
      <c r="A34" s="144"/>
      <c r="B34" s="299" t="str">
        <f>IF(ISBLANK(C34),"",_xlfn.XLOOKUP($C34,'General Information'!$C$18:$C$44,'General Information'!$B$18:$B$44,""))</f>
        <v/>
      </c>
      <c r="C34" s="379"/>
      <c r="D34" s="380"/>
      <c r="E34" s="381"/>
      <c r="F34" s="142" t="str">
        <f>IF(ISBLANK(E34),"",_xlfn.XLOOKUP(D34,Data!$K$6:$K$15,Data!$M$6:$M$15))</f>
        <v/>
      </c>
      <c r="G34" s="144"/>
    </row>
    <row r="35" spans="1:11">
      <c r="A35" s="144"/>
      <c r="B35" s="300" t="str">
        <f>IF(ISBLANK(C35),"",_xlfn.XLOOKUP($C35,'General Information'!$C$18:$C$44,'General Information'!$B$18:$B$44,""))</f>
        <v/>
      </c>
      <c r="C35" s="382"/>
      <c r="D35" s="383"/>
      <c r="E35" s="384"/>
      <c r="F35" s="141" t="str">
        <f>IF(ISBLANK(E35),"",_xlfn.XLOOKUP(D35,Data!$K$6:$K$15,Data!$M$6:$M$15))</f>
        <v/>
      </c>
      <c r="G35" s="144"/>
    </row>
    <row r="36" spans="1:11">
      <c r="A36" s="144"/>
      <c r="B36" s="299" t="str">
        <f>IF(ISBLANK(C36),"",_xlfn.XLOOKUP($C36,'General Information'!$C$18:$C$44,'General Information'!$B$18:$B$44,""))</f>
        <v/>
      </c>
      <c r="C36" s="379"/>
      <c r="D36" s="380"/>
      <c r="E36" s="381"/>
      <c r="F36" s="142" t="str">
        <f>IF(ISBLANK(E36),"",_xlfn.XLOOKUP(D36,Data!$K$6:$K$15,Data!$M$6:$M$15))</f>
        <v/>
      </c>
      <c r="G36" s="144"/>
    </row>
    <row r="37" spans="1:11">
      <c r="A37" s="144"/>
      <c r="B37" s="300" t="str">
        <f>IF(ISBLANK(C37),"",_xlfn.XLOOKUP($C37,'General Information'!$C$18:$C$44,'General Information'!$B$18:$B$44,""))</f>
        <v/>
      </c>
      <c r="C37" s="382"/>
      <c r="D37" s="383"/>
      <c r="E37" s="384"/>
      <c r="F37" s="141" t="str">
        <f>IF(ISBLANK(E37),"",_xlfn.XLOOKUP(D37,Data!$K$6:$K$15,Data!$M$6:$M$15))</f>
        <v/>
      </c>
      <c r="G37" s="144"/>
    </row>
    <row r="38" spans="1:11">
      <c r="A38" s="144"/>
      <c r="B38" s="374" t="str">
        <f>IF(ISBLANK(C38),"",_xlfn.XLOOKUP($C38,'General Information'!$C$18:$C$44,'General Information'!$B$18:$B$44,""))</f>
        <v/>
      </c>
      <c r="C38" s="379"/>
      <c r="D38" s="380"/>
      <c r="E38" s="381"/>
      <c r="F38" s="142" t="str">
        <f>IF(ISBLANK(E38),"",_xlfn.XLOOKUP(D38,Data!$K$6:$K$15,Data!$M$6:$M$15))</f>
        <v/>
      </c>
      <c r="G38" s="144"/>
    </row>
    <row r="39" spans="1:11">
      <c r="A39" s="144"/>
      <c r="B39" s="363"/>
      <c r="C39" s="144"/>
      <c r="D39" s="144"/>
      <c r="E39" s="144"/>
      <c r="F39" s="144"/>
      <c r="G39" s="144"/>
      <c r="H39" s="144"/>
      <c r="I39" s="144"/>
      <c r="J39" s="144"/>
      <c r="K39" s="144"/>
    </row>
    <row r="40" spans="1:11" ht="15" customHeight="1" thickBot="1">
      <c r="A40" s="144"/>
      <c r="B40" s="144"/>
      <c r="C40" s="144"/>
      <c r="D40" s="144"/>
      <c r="E40" s="144"/>
      <c r="F40" s="144"/>
      <c r="G40" s="144"/>
      <c r="H40" s="144"/>
      <c r="I40" s="144"/>
      <c r="J40" s="144"/>
      <c r="K40" s="144"/>
    </row>
    <row r="41" spans="1:11" s="214" customFormat="1" ht="17" thickBot="1">
      <c r="A41" s="208"/>
      <c r="B41" s="435" t="s">
        <v>52</v>
      </c>
      <c r="C41" s="436"/>
      <c r="D41" s="229" t="s">
        <v>53</v>
      </c>
      <c r="E41" s="230"/>
      <c r="F41" s="230"/>
      <c r="G41" s="208"/>
      <c r="I41" s="208"/>
      <c r="J41" s="208"/>
    </row>
    <row r="42" spans="1:11">
      <c r="A42" s="144"/>
      <c r="B42" s="216" t="s">
        <v>54</v>
      </c>
      <c r="C42" s="217"/>
      <c r="D42" s="218">
        <v>25.3</v>
      </c>
      <c r="E42" s="144"/>
      <c r="F42" s="144"/>
      <c r="G42" s="204"/>
      <c r="H42" s="144"/>
      <c r="I42" s="144"/>
      <c r="J42" s="144"/>
    </row>
    <row r="43" spans="1:11">
      <c r="A43" s="144"/>
      <c r="B43" s="219" t="s">
        <v>55</v>
      </c>
      <c r="C43" s="220"/>
      <c r="D43" s="221">
        <v>43.96</v>
      </c>
      <c r="E43" s="144"/>
      <c r="F43" s="144"/>
      <c r="G43" s="204"/>
      <c r="H43" s="144"/>
      <c r="I43" s="144"/>
      <c r="J43" s="144"/>
    </row>
    <row r="44" spans="1:11">
      <c r="A44" s="144"/>
      <c r="B44" s="228" t="s">
        <v>56</v>
      </c>
      <c r="C44" s="220"/>
      <c r="D44" s="221">
        <v>7.34</v>
      </c>
      <c r="E44" s="144"/>
      <c r="F44" s="144"/>
      <c r="G44" s="204"/>
      <c r="H44" s="144"/>
      <c r="I44" s="144"/>
      <c r="J44" s="144"/>
    </row>
    <row r="45" spans="1:11">
      <c r="A45" s="144"/>
      <c r="B45" s="228" t="s">
        <v>57</v>
      </c>
      <c r="C45" s="220"/>
      <c r="D45" s="221">
        <v>18</v>
      </c>
      <c r="E45" s="144"/>
      <c r="F45" s="144"/>
      <c r="G45" s="204"/>
      <c r="H45" s="144"/>
      <c r="I45" s="144"/>
      <c r="J45" s="144"/>
    </row>
    <row r="46" spans="1:11">
      <c r="A46" s="144"/>
      <c r="B46" s="228" t="s">
        <v>58</v>
      </c>
      <c r="C46" s="220"/>
      <c r="D46" s="221">
        <v>7.6</v>
      </c>
      <c r="E46" s="144"/>
      <c r="F46" s="144"/>
      <c r="G46" s="204"/>
      <c r="H46" s="144"/>
      <c r="I46" s="144"/>
      <c r="J46" s="144"/>
    </row>
    <row r="47" spans="1:11" ht="16" thickBot="1">
      <c r="A47" s="144"/>
      <c r="B47" s="222" t="s">
        <v>59</v>
      </c>
      <c r="C47" s="223"/>
      <c r="D47" s="224">
        <v>6.2</v>
      </c>
      <c r="E47" s="144"/>
      <c r="F47" s="144"/>
      <c r="G47" s="204"/>
      <c r="H47" s="144"/>
      <c r="I47" s="144"/>
      <c r="J47" s="144"/>
    </row>
    <row r="48" spans="1:11" ht="15" customHeight="1">
      <c r="A48" s="144"/>
      <c r="B48" s="225" t="s">
        <v>60</v>
      </c>
      <c r="C48" s="226"/>
      <c r="D48" s="227"/>
      <c r="E48" s="206"/>
      <c r="F48" s="206"/>
      <c r="G48" s="205"/>
      <c r="H48" s="205"/>
      <c r="I48" s="144"/>
      <c r="J48" s="144"/>
      <c r="K48" s="144"/>
    </row>
    <row r="49" spans="1:11" ht="15" customHeight="1">
      <c r="A49" s="144"/>
      <c r="B49" s="144"/>
      <c r="C49" s="144"/>
      <c r="D49" s="144"/>
      <c r="E49" s="207"/>
      <c r="F49" s="207"/>
      <c r="G49" s="144"/>
      <c r="H49" s="144"/>
      <c r="I49" s="144"/>
      <c r="J49" s="144"/>
      <c r="K49" s="144"/>
    </row>
    <row r="50" spans="1:11" ht="15" customHeight="1">
      <c r="A50" s="144"/>
      <c r="B50" s="144"/>
      <c r="C50" s="144"/>
      <c r="D50" s="144"/>
      <c r="E50" s="207"/>
      <c r="F50" s="207"/>
      <c r="G50" s="144"/>
      <c r="H50" s="144"/>
      <c r="I50" s="144"/>
      <c r="J50" s="144"/>
      <c r="K50" s="144"/>
    </row>
    <row r="51" spans="1:11" ht="15" hidden="1" customHeight="1">
      <c r="E51" s="148"/>
      <c r="F51" s="148"/>
    </row>
    <row r="52" spans="1:11" ht="15" hidden="1" customHeight="1">
      <c r="E52" s="148"/>
      <c r="F52" s="148"/>
    </row>
    <row r="53" spans="1:11" ht="15" hidden="1" customHeight="1">
      <c r="E53" s="148"/>
      <c r="F53" s="148"/>
    </row>
    <row r="54" spans="1:11" ht="15" hidden="1" customHeight="1">
      <c r="E54" s="148"/>
      <c r="F54" s="148"/>
    </row>
    <row r="55" spans="1:11" ht="15" hidden="1" customHeight="1">
      <c r="E55" s="148"/>
      <c r="F55" s="148"/>
    </row>
    <row r="56" spans="1:11" ht="15" hidden="1" customHeight="1">
      <c r="E56" s="148"/>
      <c r="F56" s="148"/>
    </row>
    <row r="57" spans="1:11" ht="15" hidden="1" customHeight="1">
      <c r="E57" s="148"/>
      <c r="F57" s="148"/>
    </row>
    <row r="58" spans="1:11" ht="15" hidden="1" customHeight="1">
      <c r="E58" s="148"/>
      <c r="F58" s="148"/>
    </row>
    <row r="59" spans="1:11" ht="15" hidden="1" customHeight="1">
      <c r="E59" s="148"/>
      <c r="F59" s="148"/>
    </row>
    <row r="60" spans="1:11" ht="15" hidden="1" customHeight="1">
      <c r="E60" s="148"/>
      <c r="F60" s="148"/>
    </row>
    <row r="61" spans="1:11" ht="15" hidden="1" customHeight="1">
      <c r="E61" s="148"/>
      <c r="F61" s="148"/>
    </row>
    <row r="62" spans="1:11" ht="15" hidden="1" customHeight="1">
      <c r="E62" s="148"/>
      <c r="F62" s="148"/>
    </row>
    <row r="63" spans="1:11" ht="15" hidden="1" customHeight="1">
      <c r="E63" s="148"/>
      <c r="F63" s="148"/>
    </row>
    <row r="64" spans="1:11" ht="15" hidden="1" customHeight="1">
      <c r="E64" s="148"/>
      <c r="F64" s="148"/>
    </row>
    <row r="65" spans="1:11" ht="15" hidden="1" customHeight="1">
      <c r="E65" s="148"/>
      <c r="F65" s="148"/>
    </row>
    <row r="66" spans="1:11" ht="15" hidden="1" customHeight="1">
      <c r="E66" s="148"/>
      <c r="F66" s="148"/>
    </row>
    <row r="67" spans="1:11" ht="15" hidden="1" customHeight="1">
      <c r="E67" s="148"/>
      <c r="F67" s="148"/>
    </row>
    <row r="68" spans="1:11" ht="15" hidden="1" customHeight="1">
      <c r="E68" s="148"/>
      <c r="F68" s="148"/>
    </row>
    <row r="75" spans="1:11" ht="15" customHeight="1">
      <c r="A75" s="144"/>
      <c r="B75" s="144"/>
      <c r="C75" s="144"/>
      <c r="D75" s="144"/>
      <c r="E75" s="144"/>
      <c r="F75" s="144"/>
      <c r="G75" s="144"/>
      <c r="H75" s="144"/>
      <c r="I75" s="144"/>
      <c r="J75" s="144"/>
      <c r="K75" s="144"/>
    </row>
  </sheetData>
  <mergeCells count="9">
    <mergeCell ref="B41:C41"/>
    <mergeCell ref="B8:F8"/>
    <mergeCell ref="B9:F9"/>
    <mergeCell ref="B10:F10"/>
    <mergeCell ref="C2:E2"/>
    <mergeCell ref="B4:F4"/>
    <mergeCell ref="B5:F5"/>
    <mergeCell ref="B6:F6"/>
    <mergeCell ref="B7:F7"/>
  </mergeCells>
  <dataValidations count="2">
    <dataValidation type="list" allowBlank="1" showInputMessage="1" showErrorMessage="1" sqref="C16:C34 C36:C38" xr:uid="{10D5E59D-91EC-466D-ABE8-0C4DF97A3DBE}">
      <formula1>Plants</formula1>
    </dataValidation>
    <dataValidation type="list" allowBlank="1" showDropDown="1" showInputMessage="1" showErrorMessage="1" sqref="C35 C12:C15" xr:uid="{3B2804BF-5B1C-41C2-86F8-416847BBA13B}">
      <formula1>Plants</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Modul3.SkipCoT">
                <anchor moveWithCells="1" sizeWithCells="1">
                  <from>
                    <xdr:col>5</xdr:col>
                    <xdr:colOff>0</xdr:colOff>
                    <xdr:row>1</xdr:row>
                    <xdr:rowOff>0</xdr:rowOff>
                  </from>
                  <to>
                    <xdr:col>6</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90FF912-AEE8-40E8-BE4B-6A3A9583B78F}">
          <x14:formula1>
            <xm:f>'Drop Down'!$H$2:$H$9</xm:f>
          </x14:formula1>
          <xm:sqref>D16:D17 D19:D38</xm:sqref>
        </x14:dataValidation>
        <x14:dataValidation type="list" allowBlank="1" showDropDown="1" showInputMessage="1" showErrorMessage="1" xr:uid="{570933B0-AB7C-4D73-96A9-377D723A251D}">
          <x14:formula1>
            <xm:f>'Drop Down'!$H$2:$H$9</xm:f>
          </x14:formula1>
          <xm:sqref>D12:D15 D18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B22DD-0C61-4852-A496-3936D9E40F79}">
  <sheetPr codeName="Tabelle6">
    <tabColor theme="7"/>
  </sheetPr>
  <dimension ref="A1:G41"/>
  <sheetViews>
    <sheetView workbookViewId="0">
      <selection activeCell="B2" sqref="B2"/>
    </sheetView>
  </sheetViews>
  <sheetFormatPr baseColWidth="10" defaultColWidth="0" defaultRowHeight="15" zeroHeight="1"/>
  <cols>
    <col min="1" max="2" width="11" customWidth="1"/>
    <col min="3" max="3" width="27.6640625" customWidth="1"/>
    <col min="4" max="4" width="32" customWidth="1"/>
    <col min="5" max="5" width="28.5" customWidth="1"/>
    <col min="6" max="6" width="30.6640625" customWidth="1"/>
    <col min="7" max="7" width="11" customWidth="1"/>
    <col min="8" max="16384" width="10" hidden="1"/>
  </cols>
  <sheetData>
    <row r="1" spans="1:7">
      <c r="A1" s="144"/>
      <c r="B1" s="144"/>
      <c r="C1" s="144"/>
      <c r="D1" s="144"/>
      <c r="E1" s="144"/>
      <c r="F1" s="144"/>
      <c r="G1" s="144"/>
    </row>
    <row r="2" spans="1:7" ht="32.25" customHeight="1">
      <c r="A2" s="144"/>
      <c r="B2" s="144"/>
      <c r="C2" s="427" t="s">
        <v>61</v>
      </c>
      <c r="D2" s="427"/>
      <c r="E2" s="427"/>
      <c r="F2" s="361"/>
      <c r="G2" s="144"/>
    </row>
    <row r="3" spans="1:7">
      <c r="A3" s="144"/>
      <c r="B3" s="144"/>
      <c r="C3" s="144"/>
      <c r="D3" s="144"/>
      <c r="E3" s="144"/>
      <c r="F3" s="144"/>
      <c r="G3" s="144"/>
    </row>
    <row r="4" spans="1:7" ht="18" thickBot="1">
      <c r="A4" s="144"/>
      <c r="B4" s="428" t="s">
        <v>62</v>
      </c>
      <c r="C4" s="428"/>
      <c r="D4" s="428"/>
      <c r="E4" s="428"/>
      <c r="F4" s="428"/>
      <c r="G4" s="144"/>
    </row>
    <row r="5" spans="1:7" ht="16" thickTop="1">
      <c r="A5" s="144"/>
      <c r="B5" s="144"/>
      <c r="C5" s="144"/>
      <c r="D5" s="144"/>
      <c r="E5" s="144"/>
      <c r="F5" s="144"/>
      <c r="G5" s="144"/>
    </row>
    <row r="6" spans="1:7">
      <c r="A6" s="144"/>
      <c r="B6" s="422" t="s">
        <v>63</v>
      </c>
      <c r="C6" s="422"/>
      <c r="D6" s="422"/>
      <c r="E6" s="422"/>
      <c r="F6" s="422"/>
      <c r="G6" s="144"/>
    </row>
    <row r="7" spans="1:7">
      <c r="A7" s="144"/>
      <c r="B7" s="422" t="s">
        <v>64</v>
      </c>
      <c r="C7" s="422"/>
      <c r="D7" s="422"/>
      <c r="E7" s="422"/>
      <c r="F7" s="422"/>
      <c r="G7" s="144"/>
    </row>
    <row r="8" spans="1:7">
      <c r="A8" s="144"/>
      <c r="B8" s="422" t="s">
        <v>65</v>
      </c>
      <c r="C8" s="422"/>
      <c r="D8" s="422"/>
      <c r="E8" s="422"/>
      <c r="F8" s="422"/>
      <c r="G8" s="144"/>
    </row>
    <row r="9" spans="1:7">
      <c r="A9" s="144"/>
      <c r="B9" s="422" t="s">
        <v>66</v>
      </c>
      <c r="C9" s="422"/>
      <c r="D9" s="422"/>
      <c r="E9" s="422"/>
      <c r="F9" s="422"/>
      <c r="G9" s="144"/>
    </row>
    <row r="10" spans="1:7">
      <c r="A10" s="144"/>
      <c r="B10" s="144"/>
      <c r="C10" s="144"/>
      <c r="D10" s="144"/>
      <c r="E10" s="144"/>
      <c r="F10" s="144"/>
      <c r="G10" s="144"/>
    </row>
    <row r="11" spans="1:7" s="214" customFormat="1">
      <c r="A11" s="208"/>
      <c r="B11" s="215" t="s">
        <v>35</v>
      </c>
      <c r="C11" s="210" t="s">
        <v>36</v>
      </c>
      <c r="D11" s="213" t="s">
        <v>67</v>
      </c>
      <c r="E11" s="209" t="s">
        <v>68</v>
      </c>
      <c r="F11" s="213" t="s">
        <v>69</v>
      </c>
      <c r="G11" s="208"/>
    </row>
    <row r="12" spans="1:7">
      <c r="A12" s="144"/>
      <c r="B12" s="299" t="str">
        <f>IF(ISBLANK(C12),"",_xlfn.XLOOKUP($C12,'General Information'!$C$18:$C$44,'General Information'!$B$18:$B$44,""))</f>
        <v/>
      </c>
      <c r="C12" s="379"/>
      <c r="D12" s="380"/>
      <c r="E12" s="387"/>
      <c r="F12" s="381"/>
      <c r="G12" s="144"/>
    </row>
    <row r="13" spans="1:7">
      <c r="A13" s="144"/>
      <c r="B13" s="300" t="str">
        <f>IF(ISBLANK(C13),"",_xlfn.XLOOKUP($C13,'General Information'!$C$18:$C$44,'General Information'!$B$18:$B$44,""))</f>
        <v/>
      </c>
      <c r="C13" s="382"/>
      <c r="D13" s="383"/>
      <c r="E13" s="388"/>
      <c r="F13" s="384"/>
      <c r="G13" s="144"/>
    </row>
    <row r="14" spans="1:7">
      <c r="A14" s="144"/>
      <c r="B14" s="299" t="str">
        <f>IF(ISBLANK(C14),"",_xlfn.XLOOKUP($C14,'General Information'!$C$18:$C$44,'General Information'!$B$18:$B$44,""))</f>
        <v/>
      </c>
      <c r="C14" s="379"/>
      <c r="D14" s="380"/>
      <c r="E14" s="387"/>
      <c r="F14" s="381"/>
      <c r="G14" s="144"/>
    </row>
    <row r="15" spans="1:7">
      <c r="A15" s="144"/>
      <c r="B15" s="300" t="str">
        <f>IF(ISBLANK(C15),"",_xlfn.XLOOKUP($C15,'General Information'!$C$18:$C$44,'General Information'!$B$18:$B$44,""))</f>
        <v/>
      </c>
      <c r="C15" s="382"/>
      <c r="D15" s="383"/>
      <c r="E15" s="388"/>
      <c r="F15" s="384"/>
      <c r="G15" s="144"/>
    </row>
    <row r="16" spans="1:7">
      <c r="A16" s="144"/>
      <c r="B16" s="299" t="str">
        <f>IF(ISBLANK(C16),"",_xlfn.XLOOKUP($C16,'General Information'!$C$18:$C$44,'General Information'!$B$18:$B$44,""))</f>
        <v/>
      </c>
      <c r="C16" s="379"/>
      <c r="D16" s="380"/>
      <c r="E16" s="387"/>
      <c r="F16" s="381"/>
      <c r="G16" s="144"/>
    </row>
    <row r="17" spans="1:7">
      <c r="A17" s="144"/>
      <c r="B17" s="300" t="str">
        <f>IF(ISBLANK(C17),"",_xlfn.XLOOKUP($C17,'General Information'!$C$18:$C$44,'General Information'!$B$18:$B$44,""))</f>
        <v/>
      </c>
      <c r="C17" s="382"/>
      <c r="D17" s="383"/>
      <c r="E17" s="388"/>
      <c r="F17" s="384"/>
      <c r="G17" s="144"/>
    </row>
    <row r="18" spans="1:7">
      <c r="A18" s="144"/>
      <c r="B18" s="299" t="str">
        <f>IF(ISBLANK(C18),"",_xlfn.XLOOKUP($C18,'General Information'!$C$18:$C$44,'General Information'!$B$18:$B$44,""))</f>
        <v/>
      </c>
      <c r="C18" s="379"/>
      <c r="D18" s="380"/>
      <c r="E18" s="387"/>
      <c r="F18" s="381"/>
      <c r="G18" s="144"/>
    </row>
    <row r="19" spans="1:7">
      <c r="A19" s="144"/>
      <c r="B19" s="300" t="str">
        <f>IF(ISBLANK(C19),"",_xlfn.XLOOKUP($C19,'General Information'!$C$18:$C$44,'General Information'!$B$18:$B$44,""))</f>
        <v/>
      </c>
      <c r="C19" s="382"/>
      <c r="D19" s="383"/>
      <c r="E19" s="389"/>
      <c r="F19" s="384"/>
      <c r="G19" s="144"/>
    </row>
    <row r="20" spans="1:7">
      <c r="A20" s="144"/>
      <c r="B20" s="299" t="str">
        <f>IF(ISBLANK(C20),"",_xlfn.XLOOKUP($C20,'General Information'!$C$18:$C$44,'General Information'!$B$18:$B$44,""))</f>
        <v/>
      </c>
      <c r="C20" s="379"/>
      <c r="D20" s="380"/>
      <c r="E20" s="387"/>
      <c r="F20" s="381"/>
      <c r="G20" s="144"/>
    </row>
    <row r="21" spans="1:7">
      <c r="A21" s="144"/>
      <c r="B21" s="300" t="str">
        <f>IF(ISBLANK(C21),"",_xlfn.XLOOKUP($C21,'General Information'!$C$18:$C$44,'General Information'!$B$18:$B$44,""))</f>
        <v/>
      </c>
      <c r="C21" s="382"/>
      <c r="D21" s="383"/>
      <c r="E21" s="388"/>
      <c r="F21" s="384"/>
      <c r="G21" s="144"/>
    </row>
    <row r="22" spans="1:7">
      <c r="A22" s="144"/>
      <c r="B22" s="299" t="str">
        <f>IF(ISBLANK(C22),"",_xlfn.XLOOKUP($C22,'General Information'!$C$18:$C$44,'General Information'!$B$18:$B$44,""))</f>
        <v/>
      </c>
      <c r="C22" s="379"/>
      <c r="D22" s="380"/>
      <c r="E22" s="387"/>
      <c r="F22" s="381"/>
      <c r="G22" s="144"/>
    </row>
    <row r="23" spans="1:7">
      <c r="A23" s="144"/>
      <c r="B23" s="300" t="str">
        <f>IF(ISBLANK(C23),"",_xlfn.XLOOKUP($C23,'General Information'!$C$18:$C$44,'General Information'!$B$18:$B$44,""))</f>
        <v/>
      </c>
      <c r="C23" s="382"/>
      <c r="D23" s="383"/>
      <c r="E23" s="388"/>
      <c r="F23" s="384"/>
      <c r="G23" s="144"/>
    </row>
    <row r="24" spans="1:7">
      <c r="A24" s="144"/>
      <c r="B24" s="299" t="str">
        <f>IF(ISBLANK(C24),"",_xlfn.XLOOKUP($C24,'General Information'!$C$18:$C$44,'General Information'!$B$18:$B$44,""))</f>
        <v/>
      </c>
      <c r="C24" s="379"/>
      <c r="D24" s="380"/>
      <c r="E24" s="387"/>
      <c r="F24" s="381"/>
      <c r="G24" s="144"/>
    </row>
    <row r="25" spans="1:7">
      <c r="A25" s="144"/>
      <c r="B25" s="300" t="str">
        <f>IF(ISBLANK(C25),"",_xlfn.XLOOKUP($C25,'General Information'!$C$18:$C$44,'General Information'!$B$18:$B$44,""))</f>
        <v/>
      </c>
      <c r="C25" s="382"/>
      <c r="D25" s="383"/>
      <c r="E25" s="388"/>
      <c r="F25" s="384"/>
      <c r="G25" s="144"/>
    </row>
    <row r="26" spans="1:7">
      <c r="A26" s="144"/>
      <c r="B26" s="299" t="str">
        <f>IF(ISBLANK(C26),"",_xlfn.XLOOKUP($C26,'General Information'!$C$18:$C$44,'General Information'!$B$18:$B$44,""))</f>
        <v/>
      </c>
      <c r="C26" s="379"/>
      <c r="D26" s="380"/>
      <c r="E26" s="387"/>
      <c r="F26" s="381"/>
      <c r="G26" s="144"/>
    </row>
    <row r="27" spans="1:7">
      <c r="A27" s="144"/>
      <c r="B27" s="300" t="str">
        <f>IF(ISBLANK(C27),"",_xlfn.XLOOKUP($C27,'General Information'!$C$18:$C$44,'General Information'!$B$18:$B$44,""))</f>
        <v/>
      </c>
      <c r="C27" s="382"/>
      <c r="D27" s="383"/>
      <c r="E27" s="389"/>
      <c r="F27" s="384"/>
      <c r="G27" s="144"/>
    </row>
    <row r="28" spans="1:7">
      <c r="A28" s="144"/>
      <c r="B28" s="299" t="str">
        <f>IF(ISBLANK(C28),"",_xlfn.XLOOKUP($C28,'General Information'!$C$18:$C$44,'General Information'!$B$18:$B$44,""))</f>
        <v/>
      </c>
      <c r="C28" s="379"/>
      <c r="D28" s="380"/>
      <c r="E28" s="387"/>
      <c r="F28" s="381"/>
      <c r="G28" s="144"/>
    </row>
    <row r="29" spans="1:7">
      <c r="A29" s="144"/>
      <c r="B29" s="300" t="str">
        <f>IF(ISBLANK(C29),"",_xlfn.XLOOKUP($C29,'General Information'!$C$18:$C$44,'General Information'!$B$18:$B$44,""))</f>
        <v/>
      </c>
      <c r="C29" s="382"/>
      <c r="D29" s="383"/>
      <c r="E29" s="389"/>
      <c r="F29" s="384"/>
      <c r="G29" s="144"/>
    </row>
    <row r="30" spans="1:7">
      <c r="A30" s="144"/>
      <c r="B30" s="299" t="str">
        <f>IF(ISBLANK(C30),"",_xlfn.XLOOKUP($C30,'General Information'!$C$18:$C$44,'General Information'!$B$18:$B$44,""))</f>
        <v/>
      </c>
      <c r="C30" s="379"/>
      <c r="D30" s="380"/>
      <c r="E30" s="387"/>
      <c r="F30" s="381"/>
      <c r="G30" s="144"/>
    </row>
    <row r="31" spans="1:7">
      <c r="A31" s="144"/>
      <c r="B31" s="300" t="str">
        <f>IF(ISBLANK(C31),"",_xlfn.XLOOKUP($C31,'General Information'!$C$18:$C$44,'General Information'!$B$18:$B$44,""))</f>
        <v/>
      </c>
      <c r="C31" s="382"/>
      <c r="D31" s="383"/>
      <c r="E31" s="388"/>
      <c r="F31" s="384"/>
      <c r="G31" s="144"/>
    </row>
    <row r="32" spans="1:7">
      <c r="A32" s="144"/>
      <c r="B32" s="299" t="str">
        <f>IF(ISBLANK(C32),"",_xlfn.XLOOKUP($C32,'General Information'!$C$18:$C$44,'General Information'!$B$18:$B$44,""))</f>
        <v/>
      </c>
      <c r="C32" s="379"/>
      <c r="D32" s="380"/>
      <c r="E32" s="387"/>
      <c r="F32" s="381"/>
      <c r="G32" s="144"/>
    </row>
    <row r="33" spans="1:7">
      <c r="A33" s="144"/>
      <c r="B33" s="300" t="str">
        <f>IF(ISBLANK(C33),"",_xlfn.XLOOKUP($C33,'General Information'!$C$18:$C$44,'General Information'!$B$18:$B$44,""))</f>
        <v/>
      </c>
      <c r="C33" s="382"/>
      <c r="D33" s="383"/>
      <c r="E33" s="388"/>
      <c r="F33" s="384"/>
      <c r="G33" s="144"/>
    </row>
    <row r="34" spans="1:7">
      <c r="A34" s="144"/>
      <c r="B34" s="299" t="str">
        <f>IF(ISBLANK(C34),"",_xlfn.XLOOKUP($C34,'General Information'!$C$18:$C$44,'General Information'!$B$18:$B$44,""))</f>
        <v/>
      </c>
      <c r="C34" s="379"/>
      <c r="D34" s="380"/>
      <c r="E34" s="387"/>
      <c r="F34" s="381"/>
      <c r="G34" s="144"/>
    </row>
    <row r="35" spans="1:7">
      <c r="A35" s="144"/>
      <c r="B35" s="300" t="str">
        <f>IF(ISBLANK(C35),"",_xlfn.XLOOKUP($C35,'General Information'!$C$18:$C$44,'General Information'!$B$18:$B$44,""))</f>
        <v/>
      </c>
      <c r="C35" s="382"/>
      <c r="D35" s="383"/>
      <c r="E35" s="388"/>
      <c r="F35" s="384"/>
      <c r="G35" s="144"/>
    </row>
    <row r="36" spans="1:7">
      <c r="A36" s="144"/>
      <c r="B36" s="299" t="str">
        <f>IF(ISBLANK(C36),"",_xlfn.XLOOKUP($C36,'General Information'!$C$18:$C$44,'General Information'!$B$18:$B$44,""))</f>
        <v/>
      </c>
      <c r="C36" s="379"/>
      <c r="D36" s="380"/>
      <c r="E36" s="387"/>
      <c r="F36" s="381"/>
      <c r="G36" s="144"/>
    </row>
    <row r="37" spans="1:7">
      <c r="A37" s="144"/>
      <c r="B37" s="300" t="str">
        <f>IF(ISBLANK(C37),"",_xlfn.XLOOKUP($C37,'General Information'!$C$18:$C$44,'General Information'!$B$18:$B$44,""))</f>
        <v/>
      </c>
      <c r="C37" s="382"/>
      <c r="D37" s="383"/>
      <c r="E37" s="388"/>
      <c r="F37" s="384"/>
      <c r="G37" s="144"/>
    </row>
    <row r="38" spans="1:7">
      <c r="A38" s="144"/>
      <c r="B38" s="299" t="str">
        <f>IF(ISBLANK(C38),"",_xlfn.XLOOKUP($C38,'General Information'!$C$18:$C$44,'General Information'!$B$18:$B$44,""))</f>
        <v/>
      </c>
      <c r="C38" s="379"/>
      <c r="D38" s="380"/>
      <c r="E38" s="387"/>
      <c r="F38" s="381"/>
      <c r="G38" s="144"/>
    </row>
    <row r="39" spans="1:7">
      <c r="A39" s="144"/>
      <c r="B39" s="144"/>
      <c r="C39" s="144"/>
      <c r="D39" s="144"/>
      <c r="E39" s="144"/>
      <c r="F39" s="144"/>
      <c r="G39" s="144"/>
    </row>
    <row r="40" spans="1:7">
      <c r="A40" s="144"/>
      <c r="B40" s="144"/>
      <c r="C40" s="144"/>
      <c r="D40" s="144"/>
      <c r="E40" s="144"/>
      <c r="F40" s="144"/>
      <c r="G40" s="144"/>
    </row>
    <row r="41" spans="1:7">
      <c r="B41" s="144"/>
      <c r="C41" s="144"/>
      <c r="D41" s="144"/>
      <c r="E41" s="144"/>
      <c r="F41" s="144"/>
    </row>
  </sheetData>
  <mergeCells count="6">
    <mergeCell ref="C2:E2"/>
    <mergeCell ref="B9:F9"/>
    <mergeCell ref="B4:F4"/>
    <mergeCell ref="B6:F6"/>
    <mergeCell ref="B7:F7"/>
    <mergeCell ref="B8:F8"/>
  </mergeCells>
  <dataValidations count="1">
    <dataValidation type="list" allowBlank="1" showInputMessage="1" showErrorMessage="1" sqref="C12:C38" xr:uid="{9F5B80EF-CF4E-4573-AA28-0953A7D72658}">
      <formula1>Plants</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5" r:id="rId3" name="Button 3">
              <controlPr defaultSize="0" print="0" autoFill="0" autoPict="0" macro="[0]!Modul3.SkipET">
                <anchor moveWithCells="1" sizeWithCells="1">
                  <from>
                    <xdr:col>5</xdr:col>
                    <xdr:colOff>0</xdr:colOff>
                    <xdr:row>1</xdr:row>
                    <xdr:rowOff>0</xdr:rowOff>
                  </from>
                  <to>
                    <xdr:col>6</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9D99075-1D1A-4D43-BB70-289DF44FDE60}">
          <x14:formula1>
            <xm:f>'Drop Down'!$L$2:$L$7</xm:f>
          </x14:formula1>
          <xm:sqref>D27:D38 D14:D25</xm:sqref>
        </x14:dataValidation>
        <x14:dataValidation type="list" allowBlank="1" showDropDown="1" showInputMessage="1" showErrorMessage="1" xr:uid="{2BAEEC5C-95FF-4772-BC27-70A0DE01D2FE}">
          <x14:formula1>
            <xm:f>'Drop Down'!$L$2:$L$7</xm:f>
          </x14:formula1>
          <xm:sqref>D26 D12:D13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8E4B2-4748-4465-B32E-9B63EB5DD9C3}">
  <sheetPr codeName="Tabelle8">
    <tabColor theme="7"/>
  </sheetPr>
  <dimension ref="A1:F41"/>
  <sheetViews>
    <sheetView workbookViewId="0">
      <selection activeCell="B2" sqref="B2:D2"/>
    </sheetView>
  </sheetViews>
  <sheetFormatPr baseColWidth="10" defaultColWidth="0" defaultRowHeight="15" zeroHeight="1"/>
  <cols>
    <col min="1" max="2" width="11" customWidth="1"/>
    <col min="3" max="3" width="27.6640625" customWidth="1"/>
    <col min="4" max="4" width="34.83203125" customWidth="1"/>
    <col min="5" max="5" width="31.6640625" customWidth="1"/>
    <col min="6" max="6" width="11" customWidth="1"/>
    <col min="7" max="16384" width="10" hidden="1"/>
  </cols>
  <sheetData>
    <row r="1" spans="1:6">
      <c r="A1" s="144"/>
      <c r="B1" s="144"/>
      <c r="C1" s="144"/>
      <c r="D1" s="144"/>
      <c r="E1" s="144"/>
      <c r="F1" s="144"/>
    </row>
    <row r="2" spans="1:6" ht="23">
      <c r="A2" s="144"/>
      <c r="B2" s="427" t="s">
        <v>70</v>
      </c>
      <c r="C2" s="427"/>
      <c r="D2" s="427"/>
      <c r="E2" s="361"/>
      <c r="F2" s="144"/>
    </row>
    <row r="3" spans="1:6">
      <c r="A3" s="144"/>
      <c r="B3" s="144"/>
      <c r="C3" s="144"/>
      <c r="D3" s="144"/>
      <c r="E3" s="144"/>
      <c r="F3" s="144"/>
    </row>
    <row r="4" spans="1:6" ht="18" thickBot="1">
      <c r="A4" s="144"/>
      <c r="B4" s="428" t="s">
        <v>71</v>
      </c>
      <c r="C4" s="428"/>
      <c r="D4" s="428"/>
      <c r="E4" s="428"/>
      <c r="F4" s="144"/>
    </row>
    <row r="5" spans="1:6" ht="16" thickTop="1">
      <c r="A5" s="144"/>
      <c r="B5" s="144"/>
      <c r="C5" s="144"/>
      <c r="D5" s="144"/>
      <c r="E5" s="144"/>
      <c r="F5" s="144"/>
    </row>
    <row r="6" spans="1:6">
      <c r="A6" s="144"/>
      <c r="B6" s="422" t="s">
        <v>72</v>
      </c>
      <c r="C6" s="422"/>
      <c r="D6" s="422"/>
      <c r="E6" s="422"/>
      <c r="F6" s="144"/>
    </row>
    <row r="7" spans="1:6">
      <c r="A7" s="144"/>
      <c r="B7" s="422" t="s">
        <v>73</v>
      </c>
      <c r="C7" s="422"/>
      <c r="D7" s="422"/>
      <c r="E7" s="422"/>
      <c r="F7" s="144"/>
    </row>
    <row r="8" spans="1:6">
      <c r="A8" s="144"/>
      <c r="B8" s="422" t="s">
        <v>74</v>
      </c>
      <c r="C8" s="422"/>
      <c r="D8" s="422"/>
      <c r="E8" s="422"/>
      <c r="F8" s="144"/>
    </row>
    <row r="9" spans="1:6">
      <c r="A9" s="144"/>
      <c r="B9" s="422" t="s">
        <v>75</v>
      </c>
      <c r="C9" s="422"/>
      <c r="D9" s="422"/>
      <c r="E9" s="422"/>
      <c r="F9" s="144"/>
    </row>
    <row r="10" spans="1:6">
      <c r="A10" s="144"/>
      <c r="B10" s="422" t="s">
        <v>76</v>
      </c>
      <c r="C10" s="422"/>
      <c r="D10" s="422"/>
      <c r="E10" s="422"/>
      <c r="F10" s="144"/>
    </row>
    <row r="11" spans="1:6" s="214" customFormat="1">
      <c r="A11" s="144"/>
      <c r="B11" s="144"/>
      <c r="C11" s="144"/>
      <c r="D11" s="144"/>
      <c r="E11" s="144"/>
      <c r="F11" s="144"/>
    </row>
    <row r="12" spans="1:6">
      <c r="A12" s="208"/>
      <c r="B12" s="215" t="s">
        <v>35</v>
      </c>
      <c r="C12" s="210" t="s">
        <v>36</v>
      </c>
      <c r="D12" s="213" t="s">
        <v>67</v>
      </c>
      <c r="E12" s="213" t="s">
        <v>69</v>
      </c>
      <c r="F12" s="208"/>
    </row>
    <row r="13" spans="1:6">
      <c r="A13" s="144"/>
      <c r="B13" s="299" t="str">
        <f>IF(ISBLANK(C13),"",_xlfn.XLOOKUP($C13,'General Information'!$C$18:$C$44,'General Information'!$B$18:$B$44,""))</f>
        <v/>
      </c>
      <c r="C13" s="379" t="s">
        <v>51</v>
      </c>
      <c r="D13" s="380"/>
      <c r="E13" s="381"/>
      <c r="F13" s="144"/>
    </row>
    <row r="14" spans="1:6">
      <c r="A14" s="144"/>
      <c r="B14" s="300" t="str">
        <f>IF(ISBLANK(C14),"",_xlfn.XLOOKUP($C14,'General Information'!$C$18:$C$44,'General Information'!$B$18:$B$44,""))</f>
        <v/>
      </c>
      <c r="C14" s="382"/>
      <c r="D14" s="383"/>
      <c r="E14" s="384"/>
      <c r="F14" s="144"/>
    </row>
    <row r="15" spans="1:6">
      <c r="A15" s="144"/>
      <c r="B15" s="299" t="str">
        <f>IF(ISBLANK(C15),"",_xlfn.XLOOKUP($C15,'General Information'!$C$18:$C$44,'General Information'!$B$18:$B$44,""))</f>
        <v/>
      </c>
      <c r="C15" s="379"/>
      <c r="D15" s="380"/>
      <c r="E15" s="381"/>
      <c r="F15" s="144"/>
    </row>
    <row r="16" spans="1:6">
      <c r="A16" s="144"/>
      <c r="B16" s="300" t="str">
        <f>IF(ISBLANK(C16),"",_xlfn.XLOOKUP($C16,'General Information'!$C$18:$C$44,'General Information'!$B$18:$B$44,""))</f>
        <v/>
      </c>
      <c r="C16" s="382"/>
      <c r="D16" s="383"/>
      <c r="E16" s="384"/>
      <c r="F16" s="144"/>
    </row>
    <row r="17" spans="1:6">
      <c r="A17" s="144"/>
      <c r="B17" s="299" t="str">
        <f>IF(ISBLANK(C17),"",_xlfn.XLOOKUP($C17,'General Information'!$C$18:$C$44,'General Information'!$B$18:$B$44,""))</f>
        <v/>
      </c>
      <c r="C17" s="379"/>
      <c r="D17" s="380"/>
      <c r="E17" s="381"/>
      <c r="F17" s="144"/>
    </row>
    <row r="18" spans="1:6">
      <c r="A18" s="144"/>
      <c r="B18" s="300" t="str">
        <f>IF(ISBLANK(C18),"",_xlfn.XLOOKUP($C18,'General Information'!$C$18:$C$44,'General Information'!$B$18:$B$44,""))</f>
        <v/>
      </c>
      <c r="C18" s="382"/>
      <c r="D18" s="383"/>
      <c r="E18" s="384"/>
      <c r="F18" s="144"/>
    </row>
    <row r="19" spans="1:6">
      <c r="A19" s="144"/>
      <c r="B19" s="299" t="str">
        <f>IF(ISBLANK(C19),"",_xlfn.XLOOKUP($C19,'General Information'!$C$18:$C$44,'General Information'!$B$18:$B$44,""))</f>
        <v/>
      </c>
      <c r="C19" s="379"/>
      <c r="D19" s="380"/>
      <c r="E19" s="381"/>
      <c r="F19" s="144"/>
    </row>
    <row r="20" spans="1:6">
      <c r="A20" s="144"/>
      <c r="B20" s="300" t="str">
        <f>IF(ISBLANK(C20),"",_xlfn.XLOOKUP($C20,'General Information'!$C$18:$C$44,'General Information'!$B$18:$B$44,""))</f>
        <v/>
      </c>
      <c r="C20" s="382"/>
      <c r="D20" s="383"/>
      <c r="E20" s="384"/>
      <c r="F20" s="144"/>
    </row>
    <row r="21" spans="1:6">
      <c r="A21" s="144"/>
      <c r="B21" s="299" t="str">
        <f>IF(ISBLANK(C21),"",_xlfn.XLOOKUP($C21,'General Information'!$C$18:$C$44,'General Information'!$B$18:$B$44,""))</f>
        <v/>
      </c>
      <c r="C21" s="379"/>
      <c r="D21" s="380"/>
      <c r="E21" s="381"/>
      <c r="F21" s="144"/>
    </row>
    <row r="22" spans="1:6">
      <c r="A22" s="144"/>
      <c r="B22" s="300" t="str">
        <f>IF(ISBLANK(C22),"",_xlfn.XLOOKUP($C22,'General Information'!$C$18:$C$44,'General Information'!$B$18:$B$44,""))</f>
        <v/>
      </c>
      <c r="C22" s="382"/>
      <c r="D22" s="383"/>
      <c r="E22" s="384"/>
      <c r="F22" s="144"/>
    </row>
    <row r="23" spans="1:6">
      <c r="A23" s="144"/>
      <c r="B23" s="299" t="str">
        <f>IF(ISBLANK(C23),"",_xlfn.XLOOKUP($C23,'General Information'!$C$18:$C$44,'General Information'!$B$18:$B$44,""))</f>
        <v/>
      </c>
      <c r="C23" s="379"/>
      <c r="D23" s="380"/>
      <c r="E23" s="381"/>
      <c r="F23" s="144"/>
    </row>
    <row r="24" spans="1:6">
      <c r="A24" s="144"/>
      <c r="B24" s="300" t="str">
        <f>IF(ISBLANK(C24),"",_xlfn.XLOOKUP($C24,'General Information'!$C$18:$C$44,'General Information'!$B$18:$B$44,""))</f>
        <v/>
      </c>
      <c r="C24" s="382"/>
      <c r="D24" s="383"/>
      <c r="E24" s="384"/>
      <c r="F24" s="144"/>
    </row>
    <row r="25" spans="1:6">
      <c r="A25" s="144"/>
      <c r="B25" s="299" t="str">
        <f>IF(ISBLANK(C25),"",_xlfn.XLOOKUP($C25,'General Information'!$C$18:$C$44,'General Information'!$B$18:$B$44,""))</f>
        <v/>
      </c>
      <c r="C25" s="379"/>
      <c r="D25" s="380"/>
      <c r="E25" s="381"/>
      <c r="F25" s="144"/>
    </row>
    <row r="26" spans="1:6">
      <c r="A26" s="144"/>
      <c r="B26" s="300" t="str">
        <f>IF(ISBLANK(C26),"",_xlfn.XLOOKUP($C26,'General Information'!$C$18:$C$44,'General Information'!$B$18:$B$44,""))</f>
        <v/>
      </c>
      <c r="C26" s="382"/>
      <c r="D26" s="383"/>
      <c r="E26" s="384"/>
      <c r="F26" s="144"/>
    </row>
    <row r="27" spans="1:6">
      <c r="A27" s="144"/>
      <c r="B27" s="299" t="str">
        <f>IF(ISBLANK(C27),"",_xlfn.XLOOKUP($C27,'General Information'!$C$18:$C$44,'General Information'!$B$18:$B$44,""))</f>
        <v/>
      </c>
      <c r="C27" s="379"/>
      <c r="D27" s="380"/>
      <c r="E27" s="381"/>
      <c r="F27" s="144"/>
    </row>
    <row r="28" spans="1:6">
      <c r="A28" s="144"/>
      <c r="B28" s="300" t="str">
        <f>IF(ISBLANK(C28),"",_xlfn.XLOOKUP($C28,'General Information'!$C$18:$C$44,'General Information'!$B$18:$B$44,""))</f>
        <v/>
      </c>
      <c r="C28" s="382"/>
      <c r="D28" s="383"/>
      <c r="E28" s="384"/>
      <c r="F28" s="144"/>
    </row>
    <row r="29" spans="1:6">
      <c r="A29" s="144"/>
      <c r="B29" s="299" t="str">
        <f>IF(ISBLANK(C29),"",_xlfn.XLOOKUP($C29,'General Information'!$C$18:$C$44,'General Information'!$B$18:$B$44,""))</f>
        <v/>
      </c>
      <c r="C29" s="379"/>
      <c r="D29" s="380"/>
      <c r="E29" s="381"/>
      <c r="F29" s="144"/>
    </row>
    <row r="30" spans="1:6">
      <c r="A30" s="144"/>
      <c r="B30" s="300" t="str">
        <f>IF(ISBLANK(C30),"",_xlfn.XLOOKUP($C30,'General Information'!$C$18:$C$44,'General Information'!$B$18:$B$44,""))</f>
        <v/>
      </c>
      <c r="C30" s="382"/>
      <c r="D30" s="383"/>
      <c r="E30" s="384"/>
      <c r="F30" s="144"/>
    </row>
    <row r="31" spans="1:6">
      <c r="A31" s="144"/>
      <c r="B31" s="299" t="str">
        <f>IF(ISBLANK(C31),"",_xlfn.XLOOKUP($C31,'General Information'!$C$18:$C$44,'General Information'!$B$18:$B$44,""))</f>
        <v/>
      </c>
      <c r="C31" s="379"/>
      <c r="D31" s="380"/>
      <c r="E31" s="381"/>
      <c r="F31" s="144"/>
    </row>
    <row r="32" spans="1:6">
      <c r="A32" s="144"/>
      <c r="B32" s="300" t="str">
        <f>IF(ISBLANK(C32),"",_xlfn.XLOOKUP($C32,'General Information'!$C$18:$C$44,'General Information'!$B$18:$B$44,""))</f>
        <v/>
      </c>
      <c r="C32" s="382"/>
      <c r="D32" s="383"/>
      <c r="E32" s="384"/>
      <c r="F32" s="144"/>
    </row>
    <row r="33" spans="1:6">
      <c r="A33" s="144"/>
      <c r="B33" s="299" t="str">
        <f>IF(ISBLANK(C33),"",_xlfn.XLOOKUP($C33,'General Information'!$C$18:$C$44,'General Information'!$B$18:$B$44,""))</f>
        <v/>
      </c>
      <c r="C33" s="379"/>
      <c r="D33" s="380"/>
      <c r="E33" s="381"/>
      <c r="F33" s="144"/>
    </row>
    <row r="34" spans="1:6">
      <c r="A34" s="144"/>
      <c r="B34" s="300" t="str">
        <f>IF(ISBLANK(C34),"",_xlfn.XLOOKUP($C34,'General Information'!$C$18:$C$44,'General Information'!$B$18:$B$44,""))</f>
        <v/>
      </c>
      <c r="C34" s="382"/>
      <c r="D34" s="383"/>
      <c r="E34" s="384"/>
      <c r="F34" s="144"/>
    </row>
    <row r="35" spans="1:6">
      <c r="A35" s="144"/>
      <c r="B35" s="299" t="str">
        <f>IF(ISBLANK(C35),"",_xlfn.XLOOKUP($C35,'General Information'!$C$18:$C$44,'General Information'!$B$18:$B$44,""))</f>
        <v/>
      </c>
      <c r="C35" s="379"/>
      <c r="D35" s="380"/>
      <c r="E35" s="381"/>
      <c r="F35" s="144"/>
    </row>
    <row r="36" spans="1:6">
      <c r="A36" s="144"/>
      <c r="B36" s="300" t="str">
        <f>IF(ISBLANK(C36),"",_xlfn.XLOOKUP($C36,'General Information'!$C$18:$C$44,'General Information'!$B$18:$B$44,""))</f>
        <v/>
      </c>
      <c r="C36" s="382"/>
      <c r="D36" s="383"/>
      <c r="E36" s="384"/>
      <c r="F36" s="144"/>
    </row>
    <row r="37" spans="1:6">
      <c r="A37" s="144"/>
      <c r="B37" s="299" t="str">
        <f>IF(ISBLANK(C37),"",_xlfn.XLOOKUP($C37,'General Information'!$C$18:$C$44,'General Information'!$B$18:$B$44,""))</f>
        <v/>
      </c>
      <c r="C37" s="379"/>
      <c r="D37" s="380"/>
      <c r="E37" s="381"/>
      <c r="F37" s="144"/>
    </row>
    <row r="38" spans="1:6">
      <c r="A38" s="144"/>
      <c r="B38" s="300" t="str">
        <f>IF(ISBLANK(C38),"",_xlfn.XLOOKUP($C38,'General Information'!$C$18:$C$44,'General Information'!$B$18:$B$44,""))</f>
        <v/>
      </c>
      <c r="C38" s="382"/>
      <c r="D38" s="383"/>
      <c r="E38" s="384"/>
      <c r="F38" s="144"/>
    </row>
    <row r="39" spans="1:6">
      <c r="A39" s="144"/>
      <c r="B39" s="299" t="str">
        <f>IF(ISBLANK(C39),"",_xlfn.XLOOKUP($C39,'General Information'!$C$18:$C$44,'General Information'!$B$18:$B$44,""))</f>
        <v/>
      </c>
      <c r="C39" s="379"/>
      <c r="D39" s="380"/>
      <c r="E39" s="381"/>
      <c r="F39" s="144"/>
    </row>
    <row r="40" spans="1:6">
      <c r="A40" s="144"/>
      <c r="B40" s="144"/>
      <c r="C40" s="144"/>
      <c r="D40" s="144"/>
      <c r="E40" s="144"/>
      <c r="F40" s="144"/>
    </row>
    <row r="41" spans="1:6" hidden="1">
      <c r="A41" s="144"/>
      <c r="B41" s="144"/>
      <c r="C41" s="144"/>
      <c r="D41" s="144"/>
      <c r="E41" s="144"/>
      <c r="F41" s="144"/>
    </row>
  </sheetData>
  <mergeCells count="7">
    <mergeCell ref="B2:D2"/>
    <mergeCell ref="B10:E10"/>
    <mergeCell ref="B4:E4"/>
    <mergeCell ref="B9:E9"/>
    <mergeCell ref="B8:E8"/>
    <mergeCell ref="B7:E7"/>
    <mergeCell ref="B6:E6"/>
  </mergeCells>
  <dataValidations count="2">
    <dataValidation type="list" allowBlank="1" showInputMessage="1" showErrorMessage="1" sqref="C14:C18 C20:C39" xr:uid="{830AEF11-D97C-4150-BAF0-A167AED97CFD}">
      <formula1>Plants</formula1>
    </dataValidation>
    <dataValidation type="list" allowBlank="1" showDropDown="1" showInputMessage="1" showErrorMessage="1" sqref="C13 C19" xr:uid="{58F802BA-F512-4AAD-BCFA-46691FFEDF17}">
      <formula1>Plants</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Modul3.SkipBT">
                <anchor moveWithCells="1" sizeWithCells="1">
                  <from>
                    <xdr:col>4</xdr:col>
                    <xdr:colOff>0</xdr:colOff>
                    <xdr:row>1</xdr:row>
                    <xdr:rowOff>0</xdr:rowOff>
                  </from>
                  <to>
                    <xdr:col>5</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A2791BC-AEC2-4A5A-8C34-E1C4A7ECCCE2}">
          <x14:formula1>
            <xm:f>'Drop Down'!$M$2:$M$11</xm:f>
          </x14:formula1>
          <xm:sqref>D32:D39 D13:D30</xm:sqref>
        </x14:dataValidation>
        <x14:dataValidation type="list" allowBlank="1" showDropDown="1" showInputMessage="1" showErrorMessage="1" xr:uid="{76545578-E4BF-4085-A9C1-53AAF1E9378E}">
          <x14:formula1>
            <xm:f>'Drop Down'!$M$2:$M$11</xm:f>
          </x14:formula1>
          <xm:sqref>D31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89C28-8532-4637-94C8-93AF8757C8A5}">
  <sheetPr codeName="Tabelle4">
    <tabColor theme="7"/>
  </sheetPr>
  <dimension ref="A1:G41"/>
  <sheetViews>
    <sheetView workbookViewId="0">
      <selection activeCell="B2" sqref="B2"/>
    </sheetView>
  </sheetViews>
  <sheetFormatPr baseColWidth="10" defaultColWidth="0" defaultRowHeight="15" zeroHeight="1"/>
  <cols>
    <col min="1" max="2" width="11" style="198" customWidth="1"/>
    <col min="3" max="3" width="27.6640625" style="198" customWidth="1"/>
    <col min="4" max="4" width="32" style="198" customWidth="1"/>
    <col min="5" max="5" width="28.5" style="198" customWidth="1"/>
    <col min="6" max="6" width="30.6640625" style="198" customWidth="1"/>
    <col min="7" max="7" width="11" style="198" customWidth="1"/>
    <col min="8" max="16384" width="10" hidden="1"/>
  </cols>
  <sheetData>
    <row r="1" spans="1:7">
      <c r="A1" s="144"/>
      <c r="B1" s="144"/>
      <c r="C1" s="144"/>
      <c r="D1" s="144"/>
      <c r="E1" s="144"/>
      <c r="F1" s="144"/>
      <c r="G1" s="144"/>
    </row>
    <row r="2" spans="1:7" ht="23">
      <c r="A2" s="144"/>
      <c r="B2" s="199"/>
      <c r="C2" s="427" t="s">
        <v>77</v>
      </c>
      <c r="D2" s="427"/>
      <c r="E2" s="427"/>
      <c r="F2" s="361"/>
      <c r="G2" s="144"/>
    </row>
    <row r="3" spans="1:7">
      <c r="A3" s="144"/>
      <c r="B3" s="144"/>
      <c r="C3" s="144"/>
      <c r="D3" s="144"/>
      <c r="E3" s="144"/>
      <c r="F3" s="144"/>
      <c r="G3" s="144"/>
    </row>
    <row r="4" spans="1:7" ht="18" thickBot="1">
      <c r="A4" s="428" t="s">
        <v>78</v>
      </c>
      <c r="B4" s="428"/>
      <c r="C4" s="428"/>
      <c r="D4" s="428"/>
      <c r="E4" s="428"/>
      <c r="F4" s="428"/>
      <c r="G4" s="428"/>
    </row>
    <row r="5" spans="1:7" ht="16" thickTop="1">
      <c r="A5" s="144"/>
      <c r="B5" s="144"/>
      <c r="C5" s="144"/>
      <c r="D5" s="144"/>
      <c r="E5" s="144"/>
      <c r="F5" s="144"/>
      <c r="G5" s="144"/>
    </row>
    <row r="6" spans="1:7">
      <c r="A6" s="144"/>
      <c r="B6" s="422" t="s">
        <v>79</v>
      </c>
      <c r="C6" s="422"/>
      <c r="D6" s="422"/>
      <c r="E6" s="422"/>
      <c r="F6" s="422"/>
      <c r="G6" s="144"/>
    </row>
    <row r="7" spans="1:7">
      <c r="A7" s="144"/>
      <c r="B7" s="422" t="s">
        <v>80</v>
      </c>
      <c r="C7" s="422"/>
      <c r="D7" s="422"/>
      <c r="E7" s="422"/>
      <c r="F7" s="422"/>
      <c r="G7" s="144"/>
    </row>
    <row r="8" spans="1:7">
      <c r="A8" s="144"/>
      <c r="B8" s="422" t="s">
        <v>81</v>
      </c>
      <c r="C8" s="422"/>
      <c r="D8" s="422"/>
      <c r="E8" s="422"/>
      <c r="F8" s="422"/>
      <c r="G8" s="144"/>
    </row>
    <row r="9" spans="1:7">
      <c r="A9" s="144"/>
      <c r="B9" s="422" t="s">
        <v>82</v>
      </c>
      <c r="C9" s="422"/>
      <c r="D9" s="422"/>
      <c r="E9" s="422"/>
      <c r="F9" s="422"/>
      <c r="G9" s="144"/>
    </row>
    <row r="10" spans="1:7" s="214" customFormat="1">
      <c r="A10" s="144"/>
      <c r="B10" s="144"/>
      <c r="C10" s="144"/>
      <c r="D10" s="144"/>
      <c r="E10" s="144"/>
      <c r="F10" s="144"/>
      <c r="G10" s="144"/>
    </row>
    <row r="11" spans="1:7">
      <c r="A11" s="208"/>
      <c r="B11" s="215" t="s">
        <v>35</v>
      </c>
      <c r="C11" s="210" t="s">
        <v>36</v>
      </c>
      <c r="D11" s="213" t="s">
        <v>48</v>
      </c>
      <c r="E11" s="213" t="s">
        <v>83</v>
      </c>
      <c r="F11" s="213" t="s">
        <v>84</v>
      </c>
      <c r="G11" s="208"/>
    </row>
    <row r="12" spans="1:7">
      <c r="A12" s="144"/>
      <c r="B12" s="299" t="str">
        <f>IF(ISBLANK(C12),"",_xlfn.XLOOKUP($C12,'General Information'!$C$18:$C$44,'General Information'!$B$18:$B$44,""))</f>
        <v/>
      </c>
      <c r="C12" s="379" t="s">
        <v>51</v>
      </c>
      <c r="D12" s="380" t="s">
        <v>51</v>
      </c>
      <c r="E12" s="381"/>
      <c r="F12" s="142" t="str">
        <f>IF(ISBLANK(E12),"",_xlfn.XLOOKUP(D12,Data!$B$6:$B$33,Data!$I$6:$I$33,""))</f>
        <v/>
      </c>
      <c r="G12" s="144"/>
    </row>
    <row r="13" spans="1:7">
      <c r="A13" s="144"/>
      <c r="B13" s="300" t="str">
        <f>IF(ISBLANK(C13),"",_xlfn.XLOOKUP($C13,'General Information'!$C$18:$C$44,'General Information'!$B$18:$B$44,""))</f>
        <v/>
      </c>
      <c r="C13" s="382" t="s">
        <v>51</v>
      </c>
      <c r="D13" s="383"/>
      <c r="E13" s="384"/>
      <c r="F13" s="141" t="str">
        <f>IF(ISBLANK(E13),"",_xlfn.XLOOKUP(D13,Data!$B$6:$B$33,Data!$I$6:$I$33,""))</f>
        <v/>
      </c>
      <c r="G13" s="144"/>
    </row>
    <row r="14" spans="1:7">
      <c r="A14" s="144"/>
      <c r="B14" s="299" t="str">
        <f>IF(ISBLANK(C14),"",_xlfn.XLOOKUP($C14,'General Information'!$C$18:$C$44,'General Information'!$B$18:$B$44,""))</f>
        <v/>
      </c>
      <c r="C14" s="379"/>
      <c r="D14" s="380"/>
      <c r="E14" s="381"/>
      <c r="F14" s="142" t="str">
        <f>IF(ISBLANK(E14),"",_xlfn.XLOOKUP(D14,Data!$B$6:$B$33,Data!$I$6:$I$33,""))</f>
        <v/>
      </c>
      <c r="G14" s="144"/>
    </row>
    <row r="15" spans="1:7">
      <c r="A15" s="144"/>
      <c r="B15" s="300" t="str">
        <f>IF(ISBLANK(C15),"",_xlfn.XLOOKUP($C15,'General Information'!$C$18:$C$44,'General Information'!$B$18:$B$44,""))</f>
        <v/>
      </c>
      <c r="C15" s="382"/>
      <c r="D15" s="383"/>
      <c r="E15" s="384"/>
      <c r="F15" s="141" t="str">
        <f>IF(ISBLANK(E15),"",_xlfn.XLOOKUP(D15,Data!$B$6:$B$33,Data!$I$6:$I$33,""))</f>
        <v/>
      </c>
      <c r="G15" s="144"/>
    </row>
    <row r="16" spans="1:7">
      <c r="A16" s="144"/>
      <c r="B16" s="299" t="str">
        <f>IF(ISBLANK(C16),"",_xlfn.XLOOKUP($C16,'General Information'!$C$18:$C$44,'General Information'!$B$18:$B$44,""))</f>
        <v/>
      </c>
      <c r="C16" s="379"/>
      <c r="D16" s="380"/>
      <c r="E16" s="381"/>
      <c r="F16" s="142" t="str">
        <f>IF(ISBLANK(E16),"",_xlfn.XLOOKUP(D16,Data!$B$6:$B$33,Data!$I$6:$I$33,""))</f>
        <v/>
      </c>
      <c r="G16" s="144"/>
    </row>
    <row r="17" spans="1:7">
      <c r="A17" s="144"/>
      <c r="B17" s="300" t="str">
        <f>IF(ISBLANK(C17),"",_xlfn.XLOOKUP($C17,'General Information'!$C$18:$C$44,'General Information'!$B$18:$B$44,""))</f>
        <v/>
      </c>
      <c r="C17" s="382"/>
      <c r="D17" s="383"/>
      <c r="E17" s="384"/>
      <c r="F17" s="141" t="str">
        <f>IF(ISBLANK(E17),"",_xlfn.XLOOKUP(D17,Data!$B$6:$B$33,Data!$I$6:$I$33,""))</f>
        <v/>
      </c>
      <c r="G17" s="144"/>
    </row>
    <row r="18" spans="1:7">
      <c r="A18" s="144"/>
      <c r="B18" s="299" t="str">
        <f>IF(ISBLANK(C18),"",_xlfn.XLOOKUP($C18,'General Information'!$C$18:$C$44,'General Information'!$B$18:$B$44,""))</f>
        <v/>
      </c>
      <c r="C18" s="379"/>
      <c r="D18" s="380"/>
      <c r="E18" s="381"/>
      <c r="F18" s="142" t="str">
        <f>IF(ISBLANK(E18),"",_xlfn.XLOOKUP(D18,Data!$B$6:$B$33,Data!$I$6:$I$33,""))</f>
        <v/>
      </c>
      <c r="G18" s="144"/>
    </row>
    <row r="19" spans="1:7">
      <c r="A19" s="144"/>
      <c r="B19" s="300" t="str">
        <f>IF(ISBLANK(C19),"",_xlfn.XLOOKUP($C19,'General Information'!$C$18:$C$44,'General Information'!$B$18:$B$44,""))</f>
        <v/>
      </c>
      <c r="C19" s="382"/>
      <c r="D19" s="383"/>
      <c r="E19" s="384"/>
      <c r="F19" s="141" t="str">
        <f>IF(ISBLANK(E19),"",_xlfn.XLOOKUP(D19,Data!$B$6:$B$33,Data!$I$6:$I$33,""))</f>
        <v/>
      </c>
      <c r="G19" s="144"/>
    </row>
    <row r="20" spans="1:7">
      <c r="A20" s="144"/>
      <c r="B20" s="299" t="str">
        <f>IF(ISBLANK(C20),"",_xlfn.XLOOKUP($C20,'General Information'!$C$18:$C$44,'General Information'!$B$18:$B$44,""))</f>
        <v/>
      </c>
      <c r="C20" s="379"/>
      <c r="D20" s="380"/>
      <c r="E20" s="381"/>
      <c r="F20" s="142" t="str">
        <f>IF(ISBLANK(E20),"",_xlfn.XLOOKUP(D20,Data!$B$6:$B$33,Data!$I$6:$I$33,""))</f>
        <v/>
      </c>
      <c r="G20" s="144"/>
    </row>
    <row r="21" spans="1:7">
      <c r="A21" s="144"/>
      <c r="B21" s="300" t="str">
        <f>IF(ISBLANK(C21),"",_xlfn.XLOOKUP($C21,'General Information'!$C$18:$C$44,'General Information'!$B$18:$B$44,""))</f>
        <v/>
      </c>
      <c r="C21" s="382"/>
      <c r="D21" s="383"/>
      <c r="E21" s="384"/>
      <c r="F21" s="141" t="str">
        <f>IF(ISBLANK(E21),"",_xlfn.XLOOKUP(D21,Data!$B$6:$B$33,Data!$I$6:$I$33,""))</f>
        <v/>
      </c>
      <c r="G21" s="144"/>
    </row>
    <row r="22" spans="1:7">
      <c r="A22" s="144"/>
      <c r="B22" s="299" t="str">
        <f>IF(ISBLANK(C22),"",_xlfn.XLOOKUP($C22,'General Information'!$C$18:$C$44,'General Information'!$B$18:$B$44,""))</f>
        <v/>
      </c>
      <c r="C22" s="379"/>
      <c r="D22" s="380"/>
      <c r="E22" s="381"/>
      <c r="F22" s="142" t="str">
        <f>IF(ISBLANK(E22),"",_xlfn.XLOOKUP(D22,Data!$B$6:$B$33,Data!$I$6:$I$33,""))</f>
        <v/>
      </c>
      <c r="G22" s="144"/>
    </row>
    <row r="23" spans="1:7">
      <c r="A23" s="144"/>
      <c r="B23" s="300" t="str">
        <f>IF(ISBLANK(C23),"",_xlfn.XLOOKUP($C23,'General Information'!$C$18:$C$44,'General Information'!$B$18:$B$44,""))</f>
        <v/>
      </c>
      <c r="C23" s="382"/>
      <c r="D23" s="383"/>
      <c r="E23" s="384"/>
      <c r="F23" s="141" t="str">
        <f>IF(ISBLANK(E23),"",_xlfn.XLOOKUP(D23,Data!$B$6:$B$33,Data!$I$6:$I$33,""))</f>
        <v/>
      </c>
      <c r="G23" s="144"/>
    </row>
    <row r="24" spans="1:7">
      <c r="A24" s="144"/>
      <c r="B24" s="299" t="str">
        <f>IF(ISBLANK(C24),"",_xlfn.XLOOKUP($C24,'General Information'!$C$18:$C$44,'General Information'!$B$18:$B$44,""))</f>
        <v/>
      </c>
      <c r="C24" s="379"/>
      <c r="D24" s="380"/>
      <c r="E24" s="381"/>
      <c r="F24" s="142" t="str">
        <f>IF(ISBLANK(E24),"",_xlfn.XLOOKUP(D24,Data!$B$6:$B$33,Data!$I$6:$I$33,""))</f>
        <v/>
      </c>
      <c r="G24" s="144"/>
    </row>
    <row r="25" spans="1:7">
      <c r="A25" s="144"/>
      <c r="B25" s="300" t="str">
        <f>IF(ISBLANK(C25),"",_xlfn.XLOOKUP($C25,'General Information'!$C$18:$C$44,'General Information'!$B$18:$B$44,""))</f>
        <v/>
      </c>
      <c r="C25" s="382"/>
      <c r="D25" s="383"/>
      <c r="E25" s="384"/>
      <c r="F25" s="141" t="str">
        <f>IF(ISBLANK(E25),"",_xlfn.XLOOKUP(D25,Data!$B$6:$B$33,Data!$I$6:$I$33,""))</f>
        <v/>
      </c>
      <c r="G25" s="144"/>
    </row>
    <row r="26" spans="1:7">
      <c r="A26" s="144"/>
      <c r="B26" s="299" t="str">
        <f>IF(ISBLANK(C26),"",_xlfn.XLOOKUP($C26,'General Information'!$C$18:$C$44,'General Information'!$B$18:$B$44,""))</f>
        <v/>
      </c>
      <c r="C26" s="379"/>
      <c r="D26" s="380"/>
      <c r="E26" s="381"/>
      <c r="F26" s="142" t="str">
        <f>IF(ISBLANK(E26),"",_xlfn.XLOOKUP(D26,Data!$B$6:$B$33,Data!$I$6:$I$33,""))</f>
        <v/>
      </c>
      <c r="G26" s="144"/>
    </row>
    <row r="27" spans="1:7">
      <c r="A27" s="144"/>
      <c r="B27" s="300" t="str">
        <f>IF(ISBLANK(C27),"",_xlfn.XLOOKUP($C27,'General Information'!$C$18:$C$44,'General Information'!$B$18:$B$44,""))</f>
        <v/>
      </c>
      <c r="C27" s="382"/>
      <c r="D27" s="383"/>
      <c r="E27" s="384"/>
      <c r="F27" s="141" t="str">
        <f>IF(ISBLANK(E27),"",_xlfn.XLOOKUP(D27,Data!$B$6:$B$33,Data!$I$6:$I$33,""))</f>
        <v/>
      </c>
      <c r="G27" s="144"/>
    </row>
    <row r="28" spans="1:7">
      <c r="A28" s="144"/>
      <c r="B28" s="299" t="str">
        <f>IF(ISBLANK(C28),"",_xlfn.XLOOKUP($C28,'General Information'!$C$18:$C$44,'General Information'!$B$18:$B$44,""))</f>
        <v/>
      </c>
      <c r="C28" s="379"/>
      <c r="D28" s="380"/>
      <c r="E28" s="381"/>
      <c r="F28" s="142" t="str">
        <f>IF(ISBLANK(E28),"",_xlfn.XLOOKUP(D28,Data!$B$6:$B$33,Data!$I$6:$I$33,""))</f>
        <v/>
      </c>
      <c r="G28" s="144"/>
    </row>
    <row r="29" spans="1:7">
      <c r="A29" s="144"/>
      <c r="B29" s="300" t="str">
        <f>IF(ISBLANK(C29),"",_xlfn.XLOOKUP($C29,'General Information'!$C$18:$C$44,'General Information'!$B$18:$B$44,""))</f>
        <v/>
      </c>
      <c r="C29" s="382"/>
      <c r="D29" s="383"/>
      <c r="E29" s="384"/>
      <c r="F29" s="141" t="str">
        <f>IF(ISBLANK(E29),"",_xlfn.XLOOKUP(D29,Data!$B$6:$B$33,Data!$I$6:$I$33,""))</f>
        <v/>
      </c>
      <c r="G29" s="144"/>
    </row>
    <row r="30" spans="1:7">
      <c r="A30" s="144"/>
      <c r="B30" s="299" t="str">
        <f>IF(ISBLANK(C30),"",_xlfn.XLOOKUP($C30,'General Information'!$C$18:$C$44,'General Information'!$B$18:$B$44,""))</f>
        <v/>
      </c>
      <c r="C30" s="379"/>
      <c r="D30" s="380"/>
      <c r="E30" s="381"/>
      <c r="F30" s="142" t="str">
        <f>IF(ISBLANK(E30),"",_xlfn.XLOOKUP(D30,Data!$B$6:$B$33,Data!$I$6:$I$33,""))</f>
        <v/>
      </c>
      <c r="G30" s="144"/>
    </row>
    <row r="31" spans="1:7">
      <c r="A31" s="144"/>
      <c r="B31" s="300" t="str">
        <f>IF(ISBLANK(C31),"",_xlfn.XLOOKUP($C31,'General Information'!$C$18:$C$44,'General Information'!$B$18:$B$44,""))</f>
        <v/>
      </c>
      <c r="C31" s="382"/>
      <c r="D31" s="383"/>
      <c r="E31" s="384"/>
      <c r="F31" s="141" t="str">
        <f>IF(ISBLANK(E31),"",_xlfn.XLOOKUP(D31,Data!$B$6:$B$33,Data!$I$6:$I$33,""))</f>
        <v/>
      </c>
      <c r="G31" s="144"/>
    </row>
    <row r="32" spans="1:7">
      <c r="A32" s="144"/>
      <c r="B32" s="299" t="str">
        <f>IF(ISBLANK(C32),"",_xlfn.XLOOKUP($C32,'General Information'!$C$18:$C$44,'General Information'!$B$18:$B$44,""))</f>
        <v/>
      </c>
      <c r="C32" s="379"/>
      <c r="D32" s="380"/>
      <c r="E32" s="381"/>
      <c r="F32" s="142" t="str">
        <f>IF(ISBLANK(E32),"",_xlfn.XLOOKUP(D32,Data!$B$6:$B$33,Data!$I$6:$I$33,""))</f>
        <v/>
      </c>
      <c r="G32" s="144"/>
    </row>
    <row r="33" spans="1:7">
      <c r="A33" s="144"/>
      <c r="B33" s="300" t="str">
        <f>IF(ISBLANK(C33),"",_xlfn.XLOOKUP($C33,'General Information'!$C$18:$C$44,'General Information'!$B$18:$B$44,""))</f>
        <v/>
      </c>
      <c r="C33" s="382"/>
      <c r="D33" s="383"/>
      <c r="E33" s="384"/>
      <c r="F33" s="141" t="str">
        <f>IF(ISBLANK(E33),"",_xlfn.XLOOKUP(D33,Data!$B$6:$B$33,Data!$I$6:$I$33,""))</f>
        <v/>
      </c>
      <c r="G33" s="144"/>
    </row>
    <row r="34" spans="1:7">
      <c r="A34" s="144"/>
      <c r="B34" s="299" t="str">
        <f>IF(ISBLANK(C34),"",_xlfn.XLOOKUP($C34,'General Information'!$C$18:$C$44,'General Information'!$B$18:$B$44,""))</f>
        <v/>
      </c>
      <c r="C34" s="379"/>
      <c r="D34" s="380"/>
      <c r="E34" s="381"/>
      <c r="F34" s="142" t="str">
        <f>IF(ISBLANK(E34),"",_xlfn.XLOOKUP(D34,Data!$B$6:$B$33,Data!$I$6:$I$33,""))</f>
        <v/>
      </c>
      <c r="G34" s="144"/>
    </row>
    <row r="35" spans="1:7">
      <c r="A35" s="144"/>
      <c r="B35" s="300" t="str">
        <f>IF(ISBLANK(C35),"",_xlfn.XLOOKUP($C35,'General Information'!$C$18:$C$44,'General Information'!$B$18:$B$44,""))</f>
        <v/>
      </c>
      <c r="C35" s="382"/>
      <c r="D35" s="383"/>
      <c r="E35" s="384"/>
      <c r="F35" s="141" t="str">
        <f>IF(ISBLANK(E35),"",_xlfn.XLOOKUP(D35,Data!$B$6:$B$33,Data!$I$6:$I$33,""))</f>
        <v/>
      </c>
      <c r="G35" s="144"/>
    </row>
    <row r="36" spans="1:7">
      <c r="A36" s="144"/>
      <c r="B36" s="299" t="str">
        <f>IF(ISBLANK(C36),"",_xlfn.XLOOKUP($C36,'General Information'!$C$18:$C$44,'General Information'!$B$18:$B$44,""))</f>
        <v/>
      </c>
      <c r="C36" s="379"/>
      <c r="D36" s="380"/>
      <c r="E36" s="381"/>
      <c r="F36" s="142" t="str">
        <f>IF(ISBLANK(E36),"",_xlfn.XLOOKUP(D36,Data!$B$6:$B$33,Data!$I$6:$I$33,""))</f>
        <v/>
      </c>
      <c r="G36" s="144"/>
    </row>
    <row r="37" spans="1:7">
      <c r="A37" s="144"/>
      <c r="B37" s="300" t="str">
        <f>IF(ISBLANK(C37),"",_xlfn.XLOOKUP($C37,'General Information'!$C$18:$C$44,'General Information'!$B$18:$B$44,""))</f>
        <v/>
      </c>
      <c r="C37" s="382"/>
      <c r="D37" s="383"/>
      <c r="E37" s="384"/>
      <c r="F37" s="141" t="str">
        <f>IF(ISBLANK(E37),"",_xlfn.XLOOKUP(D37,Data!$B$6:$B$33,Data!$I$6:$I$33,""))</f>
        <v/>
      </c>
      <c r="G37" s="144"/>
    </row>
    <row r="38" spans="1:7">
      <c r="A38" s="144"/>
      <c r="B38" s="299" t="str">
        <f>IF(ISBLANK(C38),"",_xlfn.XLOOKUP($C38,'General Information'!$C$18:$C$44,'General Information'!$B$18:$B$44,""))</f>
        <v/>
      </c>
      <c r="C38" s="379"/>
      <c r="D38" s="380"/>
      <c r="E38" s="381"/>
      <c r="F38" s="142" t="str">
        <f>IF(ISBLANK(E38),"",_xlfn.XLOOKUP(D38,Data!$B$6:$B$33,Data!$I$6:$I$33,""))</f>
        <v/>
      </c>
      <c r="G38" s="144"/>
    </row>
    <row r="39" spans="1:7">
      <c r="A39" s="144"/>
      <c r="B39" s="144"/>
      <c r="C39" s="144"/>
      <c r="D39" s="144"/>
      <c r="E39" s="144"/>
      <c r="F39" s="144"/>
      <c r="G39" s="144"/>
    </row>
    <row r="40" spans="1:7" hidden="1">
      <c r="A40"/>
      <c r="B40" s="144"/>
      <c r="C40" s="144"/>
      <c r="D40" s="144"/>
      <c r="E40" s="144"/>
      <c r="F40" s="144"/>
      <c r="G40"/>
    </row>
    <row r="41" spans="1:7" hidden="1">
      <c r="G41" s="199"/>
    </row>
  </sheetData>
  <mergeCells count="6">
    <mergeCell ref="C2:E2"/>
    <mergeCell ref="B9:F9"/>
    <mergeCell ref="B8:F8"/>
    <mergeCell ref="B6:F6"/>
    <mergeCell ref="B7:F7"/>
    <mergeCell ref="A4:G4"/>
  </mergeCells>
  <dataValidations count="2">
    <dataValidation type="list" allowBlank="1" showInputMessage="1" showErrorMessage="1" sqref="C22:C38 C15:C20" xr:uid="{FDED2EDE-A289-46EB-83ED-D64D7A0C8AA7}">
      <formula1>Plants</formula1>
    </dataValidation>
    <dataValidation type="list" allowBlank="1" showDropDown="1" showInputMessage="1" showErrorMessage="1" sqref="C21 C12:C14" xr:uid="{C1788D39-FD5F-4FD7-B9A2-FBC4E4689707}">
      <formula1>Plants</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3" r:id="rId3" name="Button 3">
              <controlPr defaultSize="0" print="0" autoFill="0" autoPict="0" macro="[0]!Modul3.SkipSC">
                <anchor moveWithCells="1" sizeWithCells="1">
                  <from>
                    <xdr:col>5</xdr:col>
                    <xdr:colOff>0</xdr:colOff>
                    <xdr:row>1</xdr:row>
                    <xdr:rowOff>0</xdr:rowOff>
                  </from>
                  <to>
                    <xdr:col>6</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7FDA4D2-15FE-43C5-9DEC-91DF372B162E}">
          <x14:formula1>
            <xm:f>'Drop Down'!$C$2:$C$29</xm:f>
          </x14:formula1>
          <xm:sqref>D17:D38 D15</xm:sqref>
        </x14:dataValidation>
        <x14:dataValidation type="list" allowBlank="1" showDropDown="1" showInputMessage="1" showErrorMessage="1" xr:uid="{EA3DA640-1A59-44F3-B65D-6D53F0009934}">
          <x14:formula1>
            <xm:f>'Drop Down'!$C$2:$C$29</xm:f>
          </x14:formula1>
          <xm:sqref>D16 D12:D14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8A830-9EF4-48DB-91DD-FF18D4024735}">
  <sheetPr codeName="Tabelle9">
    <tabColor theme="7"/>
  </sheetPr>
  <dimension ref="A1:P43"/>
  <sheetViews>
    <sheetView topLeftCell="E1" workbookViewId="0">
      <selection activeCell="E2" sqref="E2:L2"/>
    </sheetView>
  </sheetViews>
  <sheetFormatPr baseColWidth="10" defaultColWidth="0" defaultRowHeight="15" zeroHeight="1"/>
  <cols>
    <col min="1" max="2" width="11" customWidth="1"/>
    <col min="3" max="3" width="27.6640625" customWidth="1"/>
    <col min="4" max="4" width="32" customWidth="1"/>
    <col min="5" max="5" width="28.5" customWidth="1"/>
    <col min="6" max="7" width="11" customWidth="1"/>
    <col min="8" max="8" width="27.6640625" customWidth="1"/>
    <col min="9" max="9" width="32" customWidth="1"/>
    <col min="10" max="10" width="28.5" customWidth="1"/>
    <col min="11" max="12" width="11" customWidth="1"/>
    <col min="13" max="13" width="27.6640625" customWidth="1"/>
    <col min="14" max="14" width="32" customWidth="1"/>
    <col min="15" max="15" width="28.5" customWidth="1"/>
    <col min="16" max="16" width="11" customWidth="1"/>
    <col min="17" max="16384" width="10" hidden="1"/>
  </cols>
  <sheetData>
    <row r="1" spans="1:16">
      <c r="A1" s="144"/>
      <c r="B1" s="144"/>
      <c r="C1" s="144"/>
      <c r="D1" s="144"/>
      <c r="E1" s="144"/>
      <c r="F1" s="144"/>
      <c r="G1" s="144"/>
      <c r="H1" s="144"/>
      <c r="I1" s="144"/>
      <c r="J1" s="144"/>
      <c r="K1" s="144"/>
      <c r="L1" s="144"/>
      <c r="M1" s="144"/>
      <c r="N1" s="144"/>
      <c r="O1" s="144"/>
      <c r="P1" s="144"/>
    </row>
    <row r="2" spans="1:16" ht="23">
      <c r="B2" s="361"/>
      <c r="C2" s="361"/>
      <c r="D2" s="361"/>
      <c r="E2" s="362"/>
      <c r="F2" s="362"/>
      <c r="G2" s="362"/>
      <c r="H2" s="439" t="s">
        <v>85</v>
      </c>
      <c r="I2" s="439"/>
      <c r="J2" s="439"/>
      <c r="K2" s="362"/>
      <c r="L2" s="362"/>
      <c r="M2" s="361"/>
      <c r="N2" s="361"/>
      <c r="O2" s="361"/>
      <c r="P2" s="361"/>
    </row>
    <row r="3" spans="1:16">
      <c r="A3" s="144"/>
      <c r="B3" s="144"/>
      <c r="C3" s="144"/>
      <c r="D3" s="144"/>
      <c r="E3" s="144"/>
      <c r="F3" s="144"/>
      <c r="G3" s="144"/>
      <c r="H3" s="144"/>
      <c r="I3" s="144"/>
      <c r="J3" s="144"/>
      <c r="K3" s="144"/>
      <c r="L3" s="144"/>
      <c r="M3" s="144"/>
      <c r="N3" s="144"/>
      <c r="O3" s="144"/>
      <c r="P3" s="144"/>
    </row>
    <row r="4" spans="1:16" ht="18" thickBot="1">
      <c r="A4" s="144"/>
      <c r="B4" s="144"/>
      <c r="C4" s="144"/>
      <c r="D4" s="144"/>
      <c r="E4" s="144"/>
      <c r="F4" s="144"/>
      <c r="G4" s="428" t="s">
        <v>86</v>
      </c>
      <c r="H4" s="428"/>
      <c r="I4" s="428"/>
      <c r="J4" s="428"/>
      <c r="K4" s="144"/>
      <c r="L4" s="144"/>
      <c r="M4" s="144"/>
      <c r="N4" s="144"/>
      <c r="O4" s="144"/>
      <c r="P4" s="144"/>
    </row>
    <row r="5" spans="1:16" ht="16" thickTop="1">
      <c r="A5" s="144"/>
      <c r="B5" s="144"/>
      <c r="C5" s="144"/>
      <c r="D5" s="144"/>
      <c r="E5" s="144"/>
      <c r="F5" s="144"/>
      <c r="G5" s="144"/>
      <c r="H5" s="144"/>
      <c r="I5" s="144"/>
      <c r="J5" s="144"/>
      <c r="K5" s="144"/>
      <c r="L5" s="144"/>
      <c r="M5" s="144"/>
      <c r="N5" s="144"/>
      <c r="O5" s="144"/>
      <c r="P5" s="144"/>
    </row>
    <row r="6" spans="1:16">
      <c r="A6" s="144"/>
      <c r="B6" s="422" t="s">
        <v>87</v>
      </c>
      <c r="C6" s="422"/>
      <c r="D6" s="422"/>
      <c r="E6" s="422"/>
      <c r="F6" s="422"/>
      <c r="G6" s="422"/>
      <c r="H6" s="422"/>
      <c r="I6" s="422"/>
      <c r="J6" s="422"/>
      <c r="K6" s="422"/>
      <c r="L6" s="422"/>
      <c r="M6" s="422"/>
      <c r="N6" s="422"/>
      <c r="O6" s="422"/>
      <c r="P6" s="144"/>
    </row>
    <row r="7" spans="1:16">
      <c r="A7" s="144"/>
      <c r="B7" s="422" t="s">
        <v>88</v>
      </c>
      <c r="C7" s="422"/>
      <c r="D7" s="422"/>
      <c r="E7" s="422"/>
      <c r="F7" s="422"/>
      <c r="G7" s="422"/>
      <c r="H7" s="422"/>
      <c r="I7" s="422"/>
      <c r="J7" s="422"/>
      <c r="K7" s="422"/>
      <c r="L7" s="422"/>
      <c r="M7" s="422"/>
      <c r="N7" s="422"/>
      <c r="O7" s="422"/>
      <c r="P7" s="144"/>
    </row>
    <row r="8" spans="1:16">
      <c r="A8" s="144"/>
      <c r="B8" s="144"/>
      <c r="C8" s="144"/>
      <c r="D8" s="144"/>
      <c r="E8" s="144"/>
      <c r="F8" s="422" t="s">
        <v>89</v>
      </c>
      <c r="G8" s="422"/>
      <c r="H8" s="422"/>
      <c r="I8" s="422"/>
      <c r="J8" s="422"/>
      <c r="K8" s="422"/>
      <c r="L8" s="144"/>
      <c r="M8" s="144"/>
      <c r="N8" s="144"/>
      <c r="O8" s="144"/>
      <c r="P8" s="144"/>
    </row>
    <row r="9" spans="1:16">
      <c r="A9" s="144"/>
      <c r="B9" s="144"/>
      <c r="C9" s="144"/>
      <c r="D9" s="144"/>
      <c r="E9" s="144"/>
      <c r="F9" s="144"/>
      <c r="G9" s="144"/>
      <c r="H9" s="144"/>
      <c r="I9" s="144"/>
      <c r="J9" s="144"/>
      <c r="K9" s="144"/>
      <c r="L9" s="144"/>
      <c r="M9" s="144"/>
      <c r="N9" s="144"/>
      <c r="P9" s="144"/>
    </row>
    <row r="10" spans="1:16">
      <c r="A10" s="144"/>
      <c r="B10" s="144"/>
      <c r="C10" s="422" t="s">
        <v>90</v>
      </c>
      <c r="D10" s="422"/>
      <c r="E10" s="422"/>
      <c r="F10" s="144"/>
      <c r="G10" s="144"/>
      <c r="H10" s="422" t="s">
        <v>91</v>
      </c>
      <c r="I10" s="422"/>
      <c r="J10" s="422"/>
      <c r="K10" s="144"/>
      <c r="L10" s="144"/>
      <c r="M10" s="422" t="s">
        <v>92</v>
      </c>
      <c r="N10" s="422"/>
      <c r="O10" s="422"/>
      <c r="P10" s="144"/>
    </row>
    <row r="11" spans="1:16">
      <c r="A11" s="144"/>
      <c r="B11" s="144"/>
      <c r="C11" s="144"/>
      <c r="D11" s="144"/>
      <c r="E11" s="144"/>
      <c r="F11" s="144"/>
      <c r="G11" s="144"/>
      <c r="H11" s="144"/>
      <c r="I11" s="144"/>
      <c r="J11" s="144"/>
      <c r="K11" s="144"/>
      <c r="L11" s="144"/>
      <c r="M11" s="144"/>
      <c r="N11" s="144"/>
      <c r="O11" s="144"/>
      <c r="P11" s="144"/>
    </row>
    <row r="12" spans="1:16" ht="18" thickBot="1">
      <c r="A12" s="144"/>
      <c r="B12" s="144"/>
      <c r="C12" s="144"/>
      <c r="D12" s="143" t="s">
        <v>93</v>
      </c>
      <c r="E12" s="144"/>
      <c r="F12" s="144"/>
      <c r="G12" s="144"/>
      <c r="H12" s="144"/>
      <c r="I12" s="143" t="s">
        <v>94</v>
      </c>
      <c r="J12" s="144"/>
      <c r="K12" s="144"/>
      <c r="L12" s="144"/>
      <c r="M12" s="144"/>
      <c r="N12" s="143" t="s">
        <v>95</v>
      </c>
      <c r="O12" s="144"/>
      <c r="P12" s="144"/>
    </row>
    <row r="13" spans="1:16" ht="16" thickTop="1">
      <c r="A13" s="144"/>
      <c r="B13" s="144"/>
      <c r="C13" s="144"/>
      <c r="D13" s="144"/>
      <c r="E13" s="144"/>
      <c r="F13" s="144"/>
      <c r="G13" s="144"/>
      <c r="H13" s="144"/>
      <c r="I13" s="144"/>
      <c r="J13" s="144"/>
      <c r="K13" s="144"/>
      <c r="L13" s="144"/>
      <c r="M13" s="144"/>
      <c r="N13" s="144"/>
      <c r="O13" s="144"/>
      <c r="P13" s="144"/>
    </row>
    <row r="14" spans="1:16" s="214" customFormat="1">
      <c r="A14" s="208"/>
      <c r="B14" s="307" t="s">
        <v>35</v>
      </c>
      <c r="C14" s="210" t="s">
        <v>36</v>
      </c>
      <c r="D14" s="213" t="s">
        <v>96</v>
      </c>
      <c r="E14" s="213" t="s">
        <v>97</v>
      </c>
      <c r="F14" s="208"/>
      <c r="G14" s="307" t="s">
        <v>35</v>
      </c>
      <c r="H14" s="210" t="s">
        <v>36</v>
      </c>
      <c r="I14" s="213" t="s">
        <v>98</v>
      </c>
      <c r="J14" s="213" t="s">
        <v>97</v>
      </c>
      <c r="K14" s="208"/>
      <c r="L14" s="215" t="s">
        <v>35</v>
      </c>
      <c r="M14" s="210" t="s">
        <v>36</v>
      </c>
      <c r="N14" s="213" t="s">
        <v>99</v>
      </c>
      <c r="O14" s="213" t="s">
        <v>97</v>
      </c>
      <c r="P14" s="208"/>
    </row>
    <row r="15" spans="1:16">
      <c r="A15" s="144"/>
      <c r="B15" s="299" t="str">
        <f>IF(ISBLANK(C15),"",_xlfn.XLOOKUP($C15,'General Information'!$C$18:$C$44,'General Information'!$B$18:$B$44,""))</f>
        <v/>
      </c>
      <c r="C15" s="379" t="s">
        <v>51</v>
      </c>
      <c r="D15" s="380" t="s">
        <v>51</v>
      </c>
      <c r="E15" s="381"/>
      <c r="F15" s="144"/>
      <c r="G15" s="299" t="str">
        <f>IF(ISBLANK(H15),"",_xlfn.XLOOKUP($H15,'General Information'!$C$18:$C$44,'General Information'!$B$18:$B$44,""))</f>
        <v/>
      </c>
      <c r="H15" s="379" t="s">
        <v>51</v>
      </c>
      <c r="I15" s="380" t="s">
        <v>51</v>
      </c>
      <c r="J15" s="381"/>
      <c r="K15" s="144"/>
      <c r="L15" s="299" t="str">
        <f>IF(ISBLANK(M15),"",_xlfn.XLOOKUP($M15,'General Information'!$C$18:$C$44,'General Information'!$B$18:$B$44,""))</f>
        <v/>
      </c>
      <c r="M15" s="385" t="s">
        <v>51</v>
      </c>
      <c r="N15" s="380"/>
      <c r="O15" s="381"/>
      <c r="P15" s="144"/>
    </row>
    <row r="16" spans="1:16">
      <c r="A16" s="144"/>
      <c r="B16" s="300" t="str">
        <f>IF(ISBLANK(C16),"",_xlfn.XLOOKUP($C16,'General Information'!$C$18:$C$44,'General Information'!$B$18:$B$44,""))</f>
        <v/>
      </c>
      <c r="C16" s="382"/>
      <c r="D16" s="383"/>
      <c r="E16" s="384"/>
      <c r="F16" s="144"/>
      <c r="G16" s="300" t="str">
        <f>IF(ISBLANK(H16),"",_xlfn.XLOOKUP($H16,'General Information'!$C$18:$C$44,'General Information'!$B$18:$B$44,""))</f>
        <v/>
      </c>
      <c r="H16" s="382"/>
      <c r="I16" s="383"/>
      <c r="J16" s="384"/>
      <c r="K16" s="144"/>
      <c r="L16" s="300" t="str">
        <f>IF(ISBLANK(M16),"",_xlfn.XLOOKUP($M16,'General Information'!$C$18:$C$44,'General Information'!$B$18:$B$44,""))</f>
        <v/>
      </c>
      <c r="M16" s="386"/>
      <c r="N16" s="383"/>
      <c r="O16" s="384"/>
      <c r="P16" s="144"/>
    </row>
    <row r="17" spans="1:16">
      <c r="A17" s="144"/>
      <c r="B17" s="299" t="str">
        <f>IF(ISBLANK(C17),"",_xlfn.XLOOKUP($C17,'General Information'!$C$18:$C$44,'General Information'!$B$18:$B$44,""))</f>
        <v/>
      </c>
      <c r="C17" s="379"/>
      <c r="D17" s="380"/>
      <c r="E17" s="381"/>
      <c r="F17" s="144"/>
      <c r="G17" s="299" t="str">
        <f>IF(ISBLANK(H17),"",_xlfn.XLOOKUP($H17,'General Information'!$C$18:$C$44,'General Information'!$B$18:$B$44,""))</f>
        <v/>
      </c>
      <c r="H17" s="379"/>
      <c r="I17" s="380"/>
      <c r="J17" s="381"/>
      <c r="K17" s="144"/>
      <c r="L17" s="299" t="str">
        <f>IF(ISBLANK(M17),"",_xlfn.XLOOKUP($M17,'General Information'!$C$18:$C$44,'General Information'!$B$18:$B$44,""))</f>
        <v/>
      </c>
      <c r="M17" s="385"/>
      <c r="N17" s="380"/>
      <c r="O17" s="381"/>
      <c r="P17" s="144"/>
    </row>
    <row r="18" spans="1:16">
      <c r="A18" s="144"/>
      <c r="B18" s="300" t="str">
        <f>IF(ISBLANK(C18),"",_xlfn.XLOOKUP($C18,'General Information'!$C$18:$C$44,'General Information'!$B$18:$B$44,""))</f>
        <v/>
      </c>
      <c r="C18" s="382"/>
      <c r="D18" s="383"/>
      <c r="E18" s="384"/>
      <c r="F18" s="144"/>
      <c r="G18" s="300" t="str">
        <f>IF(ISBLANK(H18),"",_xlfn.XLOOKUP($H18,'General Information'!$C$18:$C$44,'General Information'!$B$18:$B$44,""))</f>
        <v/>
      </c>
      <c r="H18" s="382"/>
      <c r="I18" s="383"/>
      <c r="J18" s="384"/>
      <c r="K18" s="144"/>
      <c r="L18" s="300" t="str">
        <f>IF(ISBLANK(M18),"",_xlfn.XLOOKUP($M18,'General Information'!$C$18:$C$44,'General Information'!$B$18:$B$44,""))</f>
        <v/>
      </c>
      <c r="M18" s="386"/>
      <c r="N18" s="383"/>
      <c r="O18" s="384"/>
      <c r="P18" s="144"/>
    </row>
    <row r="19" spans="1:16">
      <c r="A19" s="144"/>
      <c r="B19" s="299" t="str">
        <f>IF(ISBLANK(C19),"",_xlfn.XLOOKUP($C19,'General Information'!$C$18:$C$44,'General Information'!$B$18:$B$44,""))</f>
        <v/>
      </c>
      <c r="C19" s="379"/>
      <c r="D19" s="380"/>
      <c r="E19" s="381"/>
      <c r="F19" s="144"/>
      <c r="G19" s="299" t="str">
        <f>IF(ISBLANK(H19),"",_xlfn.XLOOKUP($H19,'General Information'!$C$18:$C$44,'General Information'!$B$18:$B$44,""))</f>
        <v/>
      </c>
      <c r="H19" s="379"/>
      <c r="I19" s="380"/>
      <c r="J19" s="381"/>
      <c r="K19" s="144"/>
      <c r="L19" s="299" t="str">
        <f>IF(ISBLANK(M19),"",_xlfn.XLOOKUP($M19,'General Information'!$C$18:$C$44,'General Information'!$B$18:$B$44,""))</f>
        <v/>
      </c>
      <c r="M19" s="385"/>
      <c r="N19" s="380"/>
      <c r="O19" s="381"/>
      <c r="P19" s="144"/>
    </row>
    <row r="20" spans="1:16">
      <c r="A20" s="144"/>
      <c r="B20" s="300" t="str">
        <f>IF(ISBLANK(C20),"",_xlfn.XLOOKUP($C20,'General Information'!$C$18:$C$44,'General Information'!$B$18:$B$44,""))</f>
        <v/>
      </c>
      <c r="C20" s="382"/>
      <c r="D20" s="383"/>
      <c r="E20" s="384"/>
      <c r="F20" s="144"/>
      <c r="G20" s="300" t="str">
        <f>IF(ISBLANK(H20),"",_xlfn.XLOOKUP($H20,'General Information'!$C$18:$C$44,'General Information'!$B$18:$B$44,""))</f>
        <v/>
      </c>
      <c r="H20" s="382"/>
      <c r="I20" s="383"/>
      <c r="J20" s="384"/>
      <c r="K20" s="144"/>
      <c r="L20" s="300" t="str">
        <f>IF(ISBLANK(M20),"",_xlfn.XLOOKUP($M20,'General Information'!$C$18:$C$44,'General Information'!$B$18:$B$44,""))</f>
        <v/>
      </c>
      <c r="M20" s="386"/>
      <c r="N20" s="383"/>
      <c r="O20" s="384"/>
      <c r="P20" s="144"/>
    </row>
    <row r="21" spans="1:16">
      <c r="A21" s="144"/>
      <c r="B21" s="299" t="str">
        <f>IF(ISBLANK(C21),"",_xlfn.XLOOKUP($C21,'General Information'!$C$18:$C$44,'General Information'!$B$18:$B$44,""))</f>
        <v/>
      </c>
      <c r="C21" s="379"/>
      <c r="D21" s="380"/>
      <c r="E21" s="381"/>
      <c r="F21" s="144"/>
      <c r="G21" s="299" t="str">
        <f>IF(ISBLANK(H21),"",_xlfn.XLOOKUP($H21,'General Information'!$C$18:$C$44,'General Information'!$B$18:$B$44,""))</f>
        <v/>
      </c>
      <c r="H21" s="379"/>
      <c r="I21" s="380"/>
      <c r="J21" s="381"/>
      <c r="K21" s="144"/>
      <c r="L21" s="299" t="str">
        <f>IF(ISBLANK(M21),"",_xlfn.XLOOKUP($M21,'General Information'!$C$18:$C$44,'General Information'!$B$18:$B$44,""))</f>
        <v/>
      </c>
      <c r="M21" s="385"/>
      <c r="N21" s="380"/>
      <c r="O21" s="381"/>
      <c r="P21" s="144"/>
    </row>
    <row r="22" spans="1:16">
      <c r="A22" s="144"/>
      <c r="B22" s="300" t="str">
        <f>IF(ISBLANK(C22),"",_xlfn.XLOOKUP($C22,'General Information'!$C$18:$C$44,'General Information'!$B$18:$B$44,""))</f>
        <v/>
      </c>
      <c r="C22" s="382"/>
      <c r="D22" s="383"/>
      <c r="E22" s="384"/>
      <c r="F22" s="144"/>
      <c r="G22" s="300" t="str">
        <f>IF(ISBLANK(H22),"",_xlfn.XLOOKUP($H22,'General Information'!$C$18:$C$44,'General Information'!$B$18:$B$44,""))</f>
        <v/>
      </c>
      <c r="H22" s="382"/>
      <c r="I22" s="383"/>
      <c r="J22" s="384"/>
      <c r="K22" s="144"/>
      <c r="L22" s="300" t="str">
        <f>IF(ISBLANK(M22),"",_xlfn.XLOOKUP($M22,'General Information'!$C$18:$C$44,'General Information'!$B$18:$B$44,""))</f>
        <v/>
      </c>
      <c r="M22" s="386"/>
      <c r="N22" s="383"/>
      <c r="O22" s="384"/>
      <c r="P22" s="144"/>
    </row>
    <row r="23" spans="1:16">
      <c r="A23" s="144"/>
      <c r="B23" s="299" t="str">
        <f>IF(ISBLANK(C23),"",_xlfn.XLOOKUP($C23,'General Information'!$C$18:$C$44,'General Information'!$B$18:$B$44,""))</f>
        <v/>
      </c>
      <c r="C23" s="379"/>
      <c r="D23" s="380"/>
      <c r="E23" s="381"/>
      <c r="F23" s="144"/>
      <c r="G23" s="299" t="str">
        <f>IF(ISBLANK(H23),"",_xlfn.XLOOKUP($H23,'General Information'!$C$18:$C$44,'General Information'!$B$18:$B$44,""))</f>
        <v/>
      </c>
      <c r="H23" s="379"/>
      <c r="I23" s="380"/>
      <c r="J23" s="381"/>
      <c r="K23" s="144"/>
      <c r="L23" s="299" t="str">
        <f>IF(ISBLANK(M23),"",_xlfn.XLOOKUP($M23,'General Information'!$C$18:$C$44,'General Information'!$B$18:$B$44,""))</f>
        <v/>
      </c>
      <c r="M23" s="385"/>
      <c r="N23" s="380"/>
      <c r="O23" s="381"/>
      <c r="P23" s="144"/>
    </row>
    <row r="24" spans="1:16">
      <c r="A24" s="144"/>
      <c r="B24" s="300" t="str">
        <f>IF(ISBLANK(C24),"",_xlfn.XLOOKUP($C24,'General Information'!$C$18:$C$44,'General Information'!$B$18:$B$44,""))</f>
        <v/>
      </c>
      <c r="C24" s="382"/>
      <c r="D24" s="383"/>
      <c r="E24" s="384"/>
      <c r="F24" s="144"/>
      <c r="G24" s="300" t="str">
        <f>IF(ISBLANK(H24),"",_xlfn.XLOOKUP($H24,'General Information'!$C$18:$C$44,'General Information'!$B$18:$B$44,""))</f>
        <v/>
      </c>
      <c r="H24" s="382"/>
      <c r="I24" s="383"/>
      <c r="J24" s="384"/>
      <c r="K24" s="144"/>
      <c r="L24" s="300" t="str">
        <f>IF(ISBLANK(M24),"",_xlfn.XLOOKUP($M24,'General Information'!$C$18:$C$44,'General Information'!$B$18:$B$44,""))</f>
        <v/>
      </c>
      <c r="M24" s="386"/>
      <c r="N24" s="383"/>
      <c r="O24" s="384"/>
      <c r="P24" s="144"/>
    </row>
    <row r="25" spans="1:16">
      <c r="A25" s="144"/>
      <c r="B25" s="299" t="str">
        <f>IF(ISBLANK(C25),"",_xlfn.XLOOKUP($C25,'General Information'!$C$18:$C$44,'General Information'!$B$18:$B$44,""))</f>
        <v/>
      </c>
      <c r="C25" s="379"/>
      <c r="D25" s="380"/>
      <c r="E25" s="381"/>
      <c r="F25" s="144"/>
      <c r="G25" s="299" t="str">
        <f>IF(ISBLANK(H25),"",_xlfn.XLOOKUP($H25,'General Information'!$C$18:$C$44,'General Information'!$B$18:$B$44,""))</f>
        <v/>
      </c>
      <c r="H25" s="379"/>
      <c r="I25" s="380"/>
      <c r="J25" s="381"/>
      <c r="K25" s="144"/>
      <c r="L25" s="299" t="str">
        <f>IF(ISBLANK(M25),"",_xlfn.XLOOKUP($M25,'General Information'!$C$18:$C$44,'General Information'!$B$18:$B$44,""))</f>
        <v/>
      </c>
      <c r="M25" s="385"/>
      <c r="N25" s="380"/>
      <c r="O25" s="381"/>
      <c r="P25" s="144"/>
    </row>
    <row r="26" spans="1:16">
      <c r="A26" s="144"/>
      <c r="B26" s="300" t="str">
        <f>IF(ISBLANK(C26),"",_xlfn.XLOOKUP($C26,'General Information'!$C$18:$C$44,'General Information'!$B$18:$B$44,""))</f>
        <v/>
      </c>
      <c r="C26" s="382"/>
      <c r="D26" s="383"/>
      <c r="E26" s="384"/>
      <c r="F26" s="144"/>
      <c r="G26" s="300" t="str">
        <f>IF(ISBLANK(H26),"",_xlfn.XLOOKUP($H26,'General Information'!$C$18:$C$44,'General Information'!$B$18:$B$44,""))</f>
        <v/>
      </c>
      <c r="H26" s="382"/>
      <c r="I26" s="383"/>
      <c r="J26" s="384"/>
      <c r="K26" s="144"/>
      <c r="L26" s="300" t="str">
        <f>IF(ISBLANK(M26),"",_xlfn.XLOOKUP($M26,'General Information'!$C$18:$C$44,'General Information'!$B$18:$B$44,""))</f>
        <v/>
      </c>
      <c r="M26" s="386"/>
      <c r="N26" s="383"/>
      <c r="O26" s="384"/>
      <c r="P26" s="144"/>
    </row>
    <row r="27" spans="1:16">
      <c r="A27" s="144"/>
      <c r="B27" s="299" t="str">
        <f>IF(ISBLANK(C27),"",_xlfn.XLOOKUP($C27,'General Information'!$C$18:$C$44,'General Information'!$B$18:$B$44,""))</f>
        <v/>
      </c>
      <c r="C27" s="379"/>
      <c r="D27" s="380"/>
      <c r="E27" s="381"/>
      <c r="F27" s="144"/>
      <c r="G27" s="299" t="str">
        <f>IF(ISBLANK(H27),"",_xlfn.XLOOKUP($H27,'General Information'!$C$18:$C$44,'General Information'!$B$18:$B$44,""))</f>
        <v/>
      </c>
      <c r="H27" s="379"/>
      <c r="I27" s="380"/>
      <c r="J27" s="381"/>
      <c r="K27" s="144"/>
      <c r="L27" s="299" t="str">
        <f>IF(ISBLANK(M27),"",_xlfn.XLOOKUP($M27,'General Information'!$C$18:$C$44,'General Information'!$B$18:$B$44,""))</f>
        <v/>
      </c>
      <c r="M27" s="385"/>
      <c r="N27" s="380"/>
      <c r="O27" s="381"/>
      <c r="P27" s="144"/>
    </row>
    <row r="28" spans="1:16">
      <c r="A28" s="144"/>
      <c r="B28" s="300" t="str">
        <f>IF(ISBLANK(C28),"",_xlfn.XLOOKUP($C28,'General Information'!$C$18:$C$44,'General Information'!$B$18:$B$44,""))</f>
        <v/>
      </c>
      <c r="C28" s="382"/>
      <c r="D28" s="383"/>
      <c r="E28" s="384"/>
      <c r="F28" s="144"/>
      <c r="G28" s="300" t="str">
        <f>IF(ISBLANK(H28),"",_xlfn.XLOOKUP($H28,'General Information'!$C$18:$C$44,'General Information'!$B$18:$B$44,""))</f>
        <v/>
      </c>
      <c r="H28" s="382"/>
      <c r="I28" s="383"/>
      <c r="J28" s="384"/>
      <c r="K28" s="144"/>
      <c r="L28" s="300" t="str">
        <f>IF(ISBLANK(M28),"",_xlfn.XLOOKUP($M28,'General Information'!$C$18:$C$44,'General Information'!$B$18:$B$44,""))</f>
        <v/>
      </c>
      <c r="M28" s="386"/>
      <c r="N28" s="383"/>
      <c r="O28" s="384"/>
      <c r="P28" s="144"/>
    </row>
    <row r="29" spans="1:16">
      <c r="A29" s="144"/>
      <c r="B29" s="299" t="str">
        <f>IF(ISBLANK(C29),"",_xlfn.XLOOKUP($C29,'General Information'!$C$18:$C$44,'General Information'!$B$18:$B$44,""))</f>
        <v/>
      </c>
      <c r="C29" s="379"/>
      <c r="D29" s="380"/>
      <c r="E29" s="381"/>
      <c r="F29" s="144"/>
      <c r="G29" s="299" t="str">
        <f>IF(ISBLANK(H29),"",_xlfn.XLOOKUP($H29,'General Information'!$C$18:$C$44,'General Information'!$B$18:$B$44,""))</f>
        <v/>
      </c>
      <c r="H29" s="379"/>
      <c r="I29" s="380"/>
      <c r="J29" s="381"/>
      <c r="K29" s="144"/>
      <c r="L29" s="299" t="str">
        <f>IF(ISBLANK(M29),"",_xlfn.XLOOKUP($M29,'General Information'!$C$18:$C$44,'General Information'!$B$18:$B$44,""))</f>
        <v/>
      </c>
      <c r="M29" s="385"/>
      <c r="N29" s="380"/>
      <c r="O29" s="381"/>
      <c r="P29" s="144"/>
    </row>
    <row r="30" spans="1:16">
      <c r="A30" s="144"/>
      <c r="B30" s="300" t="str">
        <f>IF(ISBLANK(C30),"",_xlfn.XLOOKUP($C30,'General Information'!$C$18:$C$44,'General Information'!$B$18:$B$44,""))</f>
        <v/>
      </c>
      <c r="C30" s="382"/>
      <c r="D30" s="383"/>
      <c r="E30" s="384"/>
      <c r="F30" s="144"/>
      <c r="G30" s="300" t="str">
        <f>IF(ISBLANK(H30),"",_xlfn.XLOOKUP($H30,'General Information'!$C$18:$C$44,'General Information'!$B$18:$B$44,""))</f>
        <v/>
      </c>
      <c r="H30" s="382"/>
      <c r="I30" s="383"/>
      <c r="J30" s="384"/>
      <c r="K30" s="144"/>
      <c r="L30" s="300" t="str">
        <f>IF(ISBLANK(M30),"",_xlfn.XLOOKUP($M30,'General Information'!$C$18:$C$44,'General Information'!$B$18:$B$44,""))</f>
        <v/>
      </c>
      <c r="M30" s="386"/>
      <c r="N30" s="383"/>
      <c r="O30" s="384"/>
      <c r="P30" s="144"/>
    </row>
    <row r="31" spans="1:16">
      <c r="A31" s="144"/>
      <c r="B31" s="299" t="str">
        <f>IF(ISBLANK(C31),"",_xlfn.XLOOKUP($C31,'General Information'!$C$18:$C$44,'General Information'!$B$18:$B$44,""))</f>
        <v/>
      </c>
      <c r="C31" s="379"/>
      <c r="D31" s="380"/>
      <c r="E31" s="381"/>
      <c r="F31" s="144"/>
      <c r="G31" s="299" t="str">
        <f>IF(ISBLANK(H31),"",_xlfn.XLOOKUP($H31,'General Information'!$C$18:$C$44,'General Information'!$B$18:$B$44,""))</f>
        <v/>
      </c>
      <c r="H31" s="379"/>
      <c r="I31" s="380"/>
      <c r="J31" s="381"/>
      <c r="K31" s="144"/>
      <c r="L31" s="299" t="str">
        <f>IF(ISBLANK(M31),"",_xlfn.XLOOKUP($M31,'General Information'!$C$18:$C$44,'General Information'!$B$18:$B$44,""))</f>
        <v/>
      </c>
      <c r="M31" s="385"/>
      <c r="N31" s="380"/>
      <c r="O31" s="381"/>
      <c r="P31" s="144"/>
    </row>
    <row r="32" spans="1:16">
      <c r="A32" s="144"/>
      <c r="B32" s="300" t="str">
        <f>IF(ISBLANK(C32),"",_xlfn.XLOOKUP($C32,'General Information'!$C$18:$C$44,'General Information'!$B$18:$B$44,""))</f>
        <v/>
      </c>
      <c r="C32" s="382"/>
      <c r="D32" s="383"/>
      <c r="E32" s="384"/>
      <c r="F32" s="144"/>
      <c r="G32" s="300" t="str">
        <f>IF(ISBLANK(H32),"",_xlfn.XLOOKUP($H32,'General Information'!$C$18:$C$44,'General Information'!$B$18:$B$44,""))</f>
        <v/>
      </c>
      <c r="H32" s="382"/>
      <c r="I32" s="383"/>
      <c r="J32" s="384"/>
      <c r="K32" s="144"/>
      <c r="L32" s="300" t="str">
        <f>IF(ISBLANK(M32),"",_xlfn.XLOOKUP($M32,'General Information'!$C$18:$C$44,'General Information'!$B$18:$B$44,""))</f>
        <v/>
      </c>
      <c r="M32" s="386"/>
      <c r="N32" s="383"/>
      <c r="O32" s="384"/>
      <c r="P32" s="144"/>
    </row>
    <row r="33" spans="1:16">
      <c r="A33" s="144"/>
      <c r="B33" s="299" t="str">
        <f>IF(ISBLANK(C33),"",_xlfn.XLOOKUP($C33,'General Information'!$C$18:$C$44,'General Information'!$B$18:$B$44,""))</f>
        <v/>
      </c>
      <c r="C33" s="379"/>
      <c r="D33" s="380"/>
      <c r="E33" s="381"/>
      <c r="F33" s="144"/>
      <c r="G33" s="299" t="str">
        <f>IF(ISBLANK(H33),"",_xlfn.XLOOKUP($H33,'General Information'!$C$18:$C$44,'General Information'!$B$18:$B$44,""))</f>
        <v/>
      </c>
      <c r="H33" s="379"/>
      <c r="I33" s="380"/>
      <c r="J33" s="381"/>
      <c r="K33" s="144"/>
      <c r="L33" s="299" t="str">
        <f>IF(ISBLANK(M33),"",_xlfn.XLOOKUP($M33,'General Information'!$C$18:$C$44,'General Information'!$B$18:$B$44,""))</f>
        <v/>
      </c>
      <c r="M33" s="385"/>
      <c r="N33" s="380"/>
      <c r="O33" s="381"/>
      <c r="P33" s="144"/>
    </row>
    <row r="34" spans="1:16">
      <c r="A34" s="144"/>
      <c r="B34" s="300" t="str">
        <f>IF(ISBLANK(C34),"",_xlfn.XLOOKUP($C34,'General Information'!$C$18:$C$44,'General Information'!$B$18:$B$44,""))</f>
        <v/>
      </c>
      <c r="C34" s="382"/>
      <c r="D34" s="383"/>
      <c r="E34" s="384"/>
      <c r="F34" s="144"/>
      <c r="G34" s="300" t="str">
        <f>IF(ISBLANK(H34),"",_xlfn.XLOOKUP($H34,'General Information'!$C$18:$C$44,'General Information'!$B$18:$B$44,""))</f>
        <v/>
      </c>
      <c r="H34" s="382"/>
      <c r="I34" s="383"/>
      <c r="J34" s="384"/>
      <c r="K34" s="144"/>
      <c r="L34" s="300" t="str">
        <f>IF(ISBLANK(M34),"",_xlfn.XLOOKUP($M34,'General Information'!$C$18:$C$44,'General Information'!$B$18:$B$44,""))</f>
        <v/>
      </c>
      <c r="M34" s="386"/>
      <c r="N34" s="383"/>
      <c r="O34" s="384"/>
      <c r="P34" s="144"/>
    </row>
    <row r="35" spans="1:16">
      <c r="A35" s="144"/>
      <c r="B35" s="299" t="str">
        <f>IF(ISBLANK(C35),"",_xlfn.XLOOKUP($C35,'General Information'!$C$18:$C$44,'General Information'!$B$18:$B$44,""))</f>
        <v/>
      </c>
      <c r="C35" s="379"/>
      <c r="D35" s="380"/>
      <c r="E35" s="381"/>
      <c r="F35" s="144"/>
      <c r="G35" s="299" t="str">
        <f>IF(ISBLANK(H35),"",_xlfn.XLOOKUP($H35,'General Information'!$C$18:$C$44,'General Information'!$B$18:$B$44,""))</f>
        <v/>
      </c>
      <c r="H35" s="379"/>
      <c r="I35" s="380"/>
      <c r="J35" s="381"/>
      <c r="K35" s="144"/>
      <c r="L35" s="299" t="str">
        <f>IF(ISBLANK(M35),"",_xlfn.XLOOKUP($M35,'General Information'!$C$18:$C$44,'General Information'!$B$18:$B$44,""))</f>
        <v/>
      </c>
      <c r="M35" s="385"/>
      <c r="N35" s="380"/>
      <c r="O35" s="381"/>
      <c r="P35" s="144"/>
    </row>
    <row r="36" spans="1:16">
      <c r="A36" s="144"/>
      <c r="B36" s="300" t="str">
        <f>IF(ISBLANK(C36),"",_xlfn.XLOOKUP($C36,'General Information'!$C$18:$C$44,'General Information'!$B$18:$B$44,""))</f>
        <v/>
      </c>
      <c r="C36" s="382"/>
      <c r="D36" s="383"/>
      <c r="E36" s="384"/>
      <c r="F36" s="144"/>
      <c r="G36" s="300" t="str">
        <f>IF(ISBLANK(H36),"",_xlfn.XLOOKUP($H36,'General Information'!$C$18:$C$44,'General Information'!$B$18:$B$44,""))</f>
        <v/>
      </c>
      <c r="H36" s="382"/>
      <c r="I36" s="383"/>
      <c r="J36" s="384"/>
      <c r="K36" s="144"/>
      <c r="L36" s="300" t="str">
        <f>IF(ISBLANK(M36),"",_xlfn.XLOOKUP($M36,'General Information'!$C$18:$C$44,'General Information'!$B$18:$B$44,""))</f>
        <v/>
      </c>
      <c r="M36" s="386"/>
      <c r="N36" s="383"/>
      <c r="O36" s="384"/>
      <c r="P36" s="144"/>
    </row>
    <row r="37" spans="1:16">
      <c r="A37" s="144"/>
      <c r="B37" s="299" t="str">
        <f>IF(ISBLANK(C37),"",_xlfn.XLOOKUP($C37,'General Information'!$C$18:$C$44,'General Information'!$B$18:$B$44,""))</f>
        <v/>
      </c>
      <c r="C37" s="379"/>
      <c r="D37" s="380"/>
      <c r="E37" s="381"/>
      <c r="F37" s="144"/>
      <c r="G37" s="299" t="str">
        <f>IF(ISBLANK(H37),"",_xlfn.XLOOKUP($H37,'General Information'!$C$18:$C$44,'General Information'!$B$18:$B$44,""))</f>
        <v/>
      </c>
      <c r="H37" s="379"/>
      <c r="I37" s="380"/>
      <c r="J37" s="381"/>
      <c r="K37" s="144"/>
      <c r="L37" s="299" t="str">
        <f>IF(ISBLANK(M37),"",_xlfn.XLOOKUP($M37,'General Information'!$C$18:$C$44,'General Information'!$B$18:$B$44,""))</f>
        <v/>
      </c>
      <c r="M37" s="385"/>
      <c r="N37" s="380"/>
      <c r="O37" s="381"/>
      <c r="P37" s="144"/>
    </row>
    <row r="38" spans="1:16">
      <c r="A38" s="144"/>
      <c r="B38" s="300" t="str">
        <f>IF(ISBLANK(C38),"",_xlfn.XLOOKUP($C38,'General Information'!$C$18:$C$44,'General Information'!$B$18:$B$44,""))</f>
        <v/>
      </c>
      <c r="C38" s="382"/>
      <c r="D38" s="383"/>
      <c r="E38" s="384"/>
      <c r="F38" s="144"/>
      <c r="G38" s="300" t="str">
        <f>IF(ISBLANK(H38),"",_xlfn.XLOOKUP($H38,'General Information'!$C$18:$C$44,'General Information'!$B$18:$B$44,""))</f>
        <v/>
      </c>
      <c r="H38" s="382"/>
      <c r="I38" s="383"/>
      <c r="J38" s="384"/>
      <c r="K38" s="144"/>
      <c r="L38" s="300" t="str">
        <f>IF(ISBLANK(M38),"",_xlfn.XLOOKUP($M38,'General Information'!$C$18:$C$44,'General Information'!$B$18:$B$44,""))</f>
        <v/>
      </c>
      <c r="M38" s="386"/>
      <c r="N38" s="383"/>
      <c r="O38" s="384"/>
      <c r="P38" s="144"/>
    </row>
    <row r="39" spans="1:16">
      <c r="A39" s="144"/>
      <c r="B39" s="299" t="str">
        <f>IF(ISBLANK(C39),"",_xlfn.XLOOKUP($C39,'General Information'!$C$18:$C$44,'General Information'!$B$18:$B$44,""))</f>
        <v/>
      </c>
      <c r="C39" s="379"/>
      <c r="D39" s="380"/>
      <c r="E39" s="381"/>
      <c r="F39" s="144"/>
      <c r="G39" s="299" t="str">
        <f>IF(ISBLANK(H39),"",_xlfn.XLOOKUP($H39,'General Information'!$C$18:$C$44,'General Information'!$B$18:$B$44,""))</f>
        <v/>
      </c>
      <c r="H39" s="379"/>
      <c r="I39" s="380"/>
      <c r="J39" s="381"/>
      <c r="K39" s="144"/>
      <c r="L39" s="299" t="str">
        <f>IF(ISBLANK(M39),"",_xlfn.XLOOKUP($M39,'General Information'!$C$18:$C$44,'General Information'!$B$18:$B$44,""))</f>
        <v/>
      </c>
      <c r="M39" s="385"/>
      <c r="N39" s="380"/>
      <c r="O39" s="381"/>
      <c r="P39" s="144"/>
    </row>
    <row r="40" spans="1:16">
      <c r="A40" s="144"/>
      <c r="B40" s="300" t="str">
        <f>IF(ISBLANK(C40),"",_xlfn.XLOOKUP($C40,'General Information'!$C$18:$C$44,'General Information'!$B$18:$B$44,""))</f>
        <v/>
      </c>
      <c r="C40" s="382"/>
      <c r="D40" s="383"/>
      <c r="E40" s="384"/>
      <c r="F40" s="144"/>
      <c r="G40" s="300" t="str">
        <f>IF(ISBLANK(H40),"",_xlfn.XLOOKUP($H40,'General Information'!$C$18:$C$44,'General Information'!$B$18:$B$44,""))</f>
        <v/>
      </c>
      <c r="H40" s="382"/>
      <c r="I40" s="383"/>
      <c r="J40" s="384"/>
      <c r="K40" s="144"/>
      <c r="L40" s="300" t="str">
        <f>IF(ISBLANK(M40),"",_xlfn.XLOOKUP($M40,'General Information'!$C$18:$C$44,'General Information'!$B$18:$B$44,""))</f>
        <v/>
      </c>
      <c r="M40" s="386"/>
      <c r="N40" s="383"/>
      <c r="O40" s="384"/>
      <c r="P40" s="144"/>
    </row>
    <row r="41" spans="1:16">
      <c r="A41" s="144"/>
      <c r="B41" s="299" t="str">
        <f>IF(ISBLANK(C41),"",_xlfn.XLOOKUP($C41,'General Information'!$C$18:$C$44,'General Information'!$B$18:$B$44,""))</f>
        <v/>
      </c>
      <c r="C41" s="379"/>
      <c r="D41" s="380"/>
      <c r="E41" s="381"/>
      <c r="F41" s="144"/>
      <c r="G41" s="299" t="str">
        <f>IF(ISBLANK(H41),"",_xlfn.XLOOKUP($H41,'General Information'!$C$18:$C$44,'General Information'!$B$18:$B$44,""))</f>
        <v/>
      </c>
      <c r="H41" s="379"/>
      <c r="I41" s="380"/>
      <c r="J41" s="381"/>
      <c r="K41" s="144"/>
      <c r="L41" s="299" t="str">
        <f>IF(ISBLANK(M41),"",_xlfn.XLOOKUP($M41,'General Information'!$C$18:$C$44,'General Information'!$B$18:$B$44,""))</f>
        <v/>
      </c>
      <c r="M41" s="385"/>
      <c r="N41" s="380"/>
      <c r="O41" s="381"/>
      <c r="P41" s="144"/>
    </row>
    <row r="42" spans="1:16">
      <c r="A42" s="144"/>
      <c r="B42" s="144"/>
      <c r="C42" s="144"/>
      <c r="D42" s="144"/>
      <c r="E42" s="144"/>
      <c r="F42" s="144"/>
      <c r="G42" s="144"/>
      <c r="H42" s="144"/>
      <c r="I42" s="144"/>
      <c r="J42" s="144"/>
      <c r="K42" s="144"/>
      <c r="L42" s="144"/>
      <c r="M42" s="144"/>
      <c r="N42" s="144"/>
      <c r="O42" s="144"/>
      <c r="P42" s="144"/>
    </row>
    <row r="43" spans="1:16">
      <c r="A43" s="144"/>
      <c r="B43" s="144"/>
      <c r="C43" s="144"/>
      <c r="D43" s="144"/>
      <c r="E43" s="144"/>
      <c r="F43" s="144"/>
      <c r="G43" s="144"/>
      <c r="H43" s="144"/>
      <c r="I43" s="144"/>
      <c r="J43" s="144"/>
      <c r="K43" s="144"/>
      <c r="L43" s="144"/>
      <c r="M43" s="144"/>
      <c r="N43" s="144"/>
      <c r="O43" s="144"/>
      <c r="P43" s="144"/>
    </row>
  </sheetData>
  <mergeCells count="8">
    <mergeCell ref="H2:J2"/>
    <mergeCell ref="H10:J10"/>
    <mergeCell ref="C10:E10"/>
    <mergeCell ref="M10:O10"/>
    <mergeCell ref="B6:O6"/>
    <mergeCell ref="B7:O7"/>
    <mergeCell ref="G4:J4"/>
    <mergeCell ref="F8:K8"/>
  </mergeCells>
  <dataValidations count="2">
    <dataValidation type="list" allowBlank="1" showInputMessage="1" showErrorMessage="1" sqref="C15:C41 H18:H41 H16 M16:M41" xr:uid="{EB84F1DE-0556-47B1-8150-C24F81AB239A}">
      <formula1>Plants</formula1>
    </dataValidation>
    <dataValidation type="list" allowBlank="1" showDropDown="1" showInputMessage="1" showErrorMessage="1" sqref="H15 H17 M15" xr:uid="{8A571EA7-8331-4B4D-8C69-0D1A028AF3EC}">
      <formula1>Plants</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8" r:id="rId3" name="Button 4">
              <controlPr defaultSize="0" print="0" autoFill="0" autoPict="0" macro="[0]!Modul3.SkipPGR">
                <anchor moveWithCells="1" sizeWithCells="1">
                  <from>
                    <xdr:col>13</xdr:col>
                    <xdr:colOff>0</xdr:colOff>
                    <xdr:row>1</xdr:row>
                    <xdr:rowOff>0</xdr:rowOff>
                  </from>
                  <to>
                    <xdr:col>14</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B8022CA2-4AEF-4BBF-8A4F-6A2E9B528BE0}">
          <x14:formula1>
            <xm:f>'Drop Down'!$N$2:$N$36</xm:f>
          </x14:formula1>
          <xm:sqref>D16:D20 D22:D41</xm:sqref>
        </x14:dataValidation>
        <x14:dataValidation type="list" allowBlank="1" showInputMessage="1" showErrorMessage="1" xr:uid="{E96F328E-84B2-4F37-934C-4206F5371E97}">
          <x14:formula1>
            <xm:f>'Drop Down'!$O$2:$O$37</xm:f>
          </x14:formula1>
          <xm:sqref>I16:I41</xm:sqref>
        </x14:dataValidation>
        <x14:dataValidation type="list" allowBlank="1" showDropDown="1" showInputMessage="1" showErrorMessage="1" xr:uid="{B495FAF5-FF62-4B0E-919E-38683FD30BA1}">
          <x14:formula1>
            <xm:f>'Drop Down'!$N$2:$N$36</xm:f>
          </x14:formula1>
          <xm:sqref>D15 D21</xm:sqref>
        </x14:dataValidation>
        <x14:dataValidation type="list" allowBlank="1" showDropDown="1" showInputMessage="1" showErrorMessage="1" xr:uid="{CEC2062F-1A64-4605-838A-048DCD45BC00}">
          <x14:formula1>
            <xm:f>'Drop Down'!$O$2:$O$37</xm:f>
          </x14:formula1>
          <xm:sqref>I15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E57CB-1858-41F3-9AEF-A9B7E3FB6DDB}">
  <sheetPr codeName="Tabelle7">
    <tabColor rgb="FFFFC000"/>
  </sheetPr>
  <dimension ref="A1:G50"/>
  <sheetViews>
    <sheetView workbookViewId="0">
      <selection activeCell="B2" sqref="B2:D2"/>
    </sheetView>
  </sheetViews>
  <sheetFormatPr baseColWidth="10" defaultColWidth="0" defaultRowHeight="15" zeroHeight="1"/>
  <cols>
    <col min="1" max="2" width="11" customWidth="1"/>
    <col min="3" max="3" width="27.6640625" customWidth="1"/>
    <col min="4" max="4" width="77.83203125" customWidth="1"/>
    <col min="5" max="5" width="50.1640625" customWidth="1"/>
    <col min="6" max="6" width="11.1640625" customWidth="1"/>
    <col min="7" max="7" width="11" hidden="1" customWidth="1"/>
    <col min="8" max="16384" width="11" hidden="1"/>
  </cols>
  <sheetData>
    <row r="1" spans="1:7">
      <c r="A1" s="144"/>
      <c r="B1" s="144"/>
      <c r="C1" s="144"/>
      <c r="D1" s="144"/>
      <c r="E1" s="144"/>
      <c r="F1" s="144"/>
      <c r="G1" s="144"/>
    </row>
    <row r="2" spans="1:7" ht="23">
      <c r="A2" s="144"/>
      <c r="B2" s="144"/>
      <c r="C2" s="362"/>
      <c r="D2" s="405" t="s">
        <v>100</v>
      </c>
      <c r="E2" s="361"/>
      <c r="F2" s="361"/>
      <c r="G2" s="144"/>
    </row>
    <row r="3" spans="1:7">
      <c r="A3" s="144"/>
      <c r="B3" s="144"/>
      <c r="C3" s="144"/>
      <c r="D3" s="144"/>
      <c r="E3" s="144"/>
      <c r="F3" s="144"/>
      <c r="G3" s="144"/>
    </row>
    <row r="4" spans="1:7" ht="18" thickBot="1">
      <c r="A4" s="144"/>
      <c r="B4" s="428" t="s">
        <v>101</v>
      </c>
      <c r="C4" s="428"/>
      <c r="D4" s="428"/>
      <c r="E4" s="428"/>
      <c r="F4" s="144"/>
      <c r="G4" s="144"/>
    </row>
    <row r="5" spans="1:7" ht="16" thickTop="1">
      <c r="A5" s="144"/>
      <c r="B5" s="144"/>
      <c r="C5" s="144"/>
      <c r="D5" s="144"/>
      <c r="E5" s="144"/>
      <c r="F5" s="144"/>
      <c r="G5" s="144"/>
    </row>
    <row r="6" spans="1:7">
      <c r="A6" s="144"/>
      <c r="B6" s="422" t="s">
        <v>102</v>
      </c>
      <c r="C6" s="422"/>
      <c r="D6" s="422"/>
      <c r="E6" s="422"/>
      <c r="F6" s="144"/>
      <c r="G6" s="144"/>
    </row>
    <row r="7" spans="1:7">
      <c r="A7" s="144"/>
      <c r="B7" s="440" t="s">
        <v>103</v>
      </c>
      <c r="C7" s="440"/>
      <c r="D7" s="440"/>
      <c r="E7" s="440"/>
      <c r="F7" s="144"/>
    </row>
    <row r="8" spans="1:7">
      <c r="A8" s="144"/>
      <c r="B8" s="422" t="s">
        <v>104</v>
      </c>
      <c r="C8" s="422"/>
      <c r="D8" s="422"/>
      <c r="E8" s="422"/>
      <c r="G8" s="144"/>
    </row>
    <row r="9" spans="1:7">
      <c r="A9" s="144"/>
      <c r="B9" s="422" t="s">
        <v>105</v>
      </c>
      <c r="C9" s="422"/>
      <c r="D9" s="422"/>
      <c r="E9" s="422"/>
      <c r="G9" s="144"/>
    </row>
    <row r="10" spans="1:7">
      <c r="A10" s="144"/>
      <c r="B10" s="144"/>
      <c r="C10" s="144"/>
      <c r="D10" s="144"/>
      <c r="E10" s="144"/>
      <c r="F10" s="144"/>
    </row>
    <row r="11" spans="1:7">
      <c r="A11" s="208"/>
      <c r="B11" s="215" t="s">
        <v>35</v>
      </c>
      <c r="C11" s="210" t="s">
        <v>36</v>
      </c>
      <c r="D11" s="213" t="s">
        <v>106</v>
      </c>
      <c r="E11" s="213" t="s">
        <v>68</v>
      </c>
      <c r="F11" s="208"/>
    </row>
    <row r="12" spans="1:7">
      <c r="A12" s="144"/>
      <c r="B12" s="299" t="str">
        <f>IF(ISBLANK(C12),"",_xlfn.XLOOKUP($C12,'General Information'!$C$18:$C$44,'General Information'!$B$18:$B$44))</f>
        <v/>
      </c>
      <c r="C12" s="379"/>
      <c r="D12" s="380" t="s">
        <v>107</v>
      </c>
      <c r="E12" s="381"/>
      <c r="F12" s="144"/>
    </row>
    <row r="13" spans="1:7">
      <c r="A13" s="144"/>
      <c r="B13" s="300" t="str">
        <f>IF(ISBLANK(C13),"",_xlfn.XLOOKUP($C13,'General Information'!$C$18:$C$44,'General Information'!$B$18:$B$44))</f>
        <v/>
      </c>
      <c r="C13" s="382"/>
      <c r="D13" s="383"/>
      <c r="E13" s="384"/>
      <c r="F13" s="144"/>
    </row>
    <row r="14" spans="1:7">
      <c r="A14" s="144"/>
      <c r="B14" s="299" t="str">
        <f>IF(ISBLANK(C14),"",_xlfn.XLOOKUP($C14,'General Information'!$C$18:$C$44,'General Information'!$B$18:$B$44))</f>
        <v/>
      </c>
      <c r="C14" s="379"/>
      <c r="D14" s="380"/>
      <c r="E14" s="381"/>
      <c r="F14" s="144"/>
    </row>
    <row r="15" spans="1:7">
      <c r="A15" s="144"/>
      <c r="B15" s="300" t="str">
        <f>IF(ISBLANK(C15),"",_xlfn.XLOOKUP($C15,'General Information'!$C$18:$C$44,'General Information'!$B$18:$B$44))</f>
        <v/>
      </c>
      <c r="C15" s="382"/>
      <c r="D15" s="383"/>
      <c r="E15" s="384"/>
      <c r="F15" s="144"/>
    </row>
    <row r="16" spans="1:7">
      <c r="A16" s="144"/>
      <c r="B16" s="299" t="str">
        <f>IF(ISBLANK(C16),"",_xlfn.XLOOKUP($C16,'General Information'!$C$18:$C$44,'General Information'!$B$18:$B$44))</f>
        <v/>
      </c>
      <c r="C16" s="379"/>
      <c r="D16" s="380"/>
      <c r="E16" s="381"/>
      <c r="F16" s="144"/>
    </row>
    <row r="17" spans="1:6">
      <c r="A17" s="144"/>
      <c r="B17" s="300" t="str">
        <f>IF(ISBLANK(C17),"",_xlfn.XLOOKUP($C17,'General Information'!$C$18:$C$44,'General Information'!$B$18:$B$44))</f>
        <v/>
      </c>
      <c r="C17" s="382"/>
      <c r="D17" s="383"/>
      <c r="E17" s="384"/>
      <c r="F17" s="144"/>
    </row>
    <row r="18" spans="1:6">
      <c r="A18" s="144"/>
      <c r="B18" s="299" t="str">
        <f>IF(ISBLANK(C18),"",_xlfn.XLOOKUP($C18,'General Information'!$C$18:$C$44,'General Information'!$B$18:$B$44))</f>
        <v/>
      </c>
      <c r="C18" s="379"/>
      <c r="D18" s="380"/>
      <c r="E18" s="381"/>
      <c r="F18" s="144"/>
    </row>
    <row r="19" spans="1:6">
      <c r="A19" s="144"/>
      <c r="B19" s="300" t="str">
        <f>IF(ISBLANK(C19),"",_xlfn.XLOOKUP($C19,'General Information'!$C$18:$C$44,'General Information'!$B$18:$B$44))</f>
        <v/>
      </c>
      <c r="C19" s="382"/>
      <c r="D19" s="383"/>
      <c r="E19" s="384"/>
      <c r="F19" s="144"/>
    </row>
    <row r="20" spans="1:6">
      <c r="A20" s="144"/>
      <c r="B20" s="299" t="str">
        <f>IF(ISBLANK(C20),"",_xlfn.XLOOKUP($C20,'General Information'!$C$18:$C$44,'General Information'!$B$18:$B$44))</f>
        <v/>
      </c>
      <c r="C20" s="379"/>
      <c r="D20" s="380"/>
      <c r="E20" s="381"/>
      <c r="F20" s="144"/>
    </row>
    <row r="21" spans="1:6">
      <c r="A21" s="144"/>
      <c r="B21" s="300" t="str">
        <f>IF(ISBLANK(C21),"",_xlfn.XLOOKUP($C21,'General Information'!$C$18:$C$44,'General Information'!$B$18:$B$44))</f>
        <v/>
      </c>
      <c r="C21" s="382"/>
      <c r="D21" s="383"/>
      <c r="E21" s="384"/>
      <c r="F21" s="144"/>
    </row>
    <row r="22" spans="1:6">
      <c r="A22" s="144"/>
      <c r="B22" s="299" t="str">
        <f>IF(ISBLANK(C22),"",_xlfn.XLOOKUP($C22,'General Information'!$C$18:$C$44,'General Information'!$B$18:$B$44))</f>
        <v/>
      </c>
      <c r="C22" s="379"/>
      <c r="D22" s="380"/>
      <c r="E22" s="381"/>
      <c r="F22" s="144"/>
    </row>
    <row r="23" spans="1:6">
      <c r="A23" s="144"/>
      <c r="B23" s="300" t="str">
        <f>IF(ISBLANK(C23),"",_xlfn.XLOOKUP($C23,'General Information'!$C$18:$C$44,'General Information'!$B$18:$B$44))</f>
        <v/>
      </c>
      <c r="C23" s="382"/>
      <c r="D23" s="383"/>
      <c r="E23" s="384"/>
      <c r="F23" s="144"/>
    </row>
    <row r="24" spans="1:6">
      <c r="A24" s="144"/>
      <c r="B24" s="299" t="str">
        <f>IF(ISBLANK(C24),"",_xlfn.XLOOKUP($C24,'General Information'!$C$18:$C$44,'General Information'!$B$18:$B$44))</f>
        <v/>
      </c>
      <c r="C24" s="379"/>
      <c r="D24" s="380"/>
      <c r="E24" s="381"/>
      <c r="F24" s="144"/>
    </row>
    <row r="25" spans="1:6">
      <c r="A25" s="144"/>
      <c r="B25" s="300" t="str">
        <f>IF(ISBLANK(C25),"",_xlfn.XLOOKUP($C25,'General Information'!$C$18:$C$44,'General Information'!$B$18:$B$44))</f>
        <v/>
      </c>
      <c r="C25" s="382"/>
      <c r="D25" s="383"/>
      <c r="E25" s="384"/>
      <c r="F25" s="144"/>
    </row>
    <row r="26" spans="1:6">
      <c r="A26" s="144"/>
      <c r="B26" s="299" t="str">
        <f>IF(ISBLANK(C26),"",_xlfn.XLOOKUP($C26,'General Information'!$C$18:$C$44,'General Information'!$B$18:$B$44))</f>
        <v/>
      </c>
      <c r="C26" s="379"/>
      <c r="D26" s="380"/>
      <c r="E26" s="381"/>
      <c r="F26" s="144"/>
    </row>
    <row r="27" spans="1:6">
      <c r="A27" s="144"/>
      <c r="B27" s="300" t="str">
        <f>IF(ISBLANK(C27),"",_xlfn.XLOOKUP($C27,'General Information'!$C$18:$C$44,'General Information'!$B$18:$B$44))</f>
        <v/>
      </c>
      <c r="C27" s="382"/>
      <c r="D27" s="383"/>
      <c r="E27" s="384"/>
      <c r="F27" s="144"/>
    </row>
    <row r="28" spans="1:6">
      <c r="A28" s="144"/>
      <c r="B28" s="299" t="str">
        <f>IF(ISBLANK(C28),"",_xlfn.XLOOKUP($C28,'General Information'!$C$18:$C$44,'General Information'!$B$18:$B$44))</f>
        <v/>
      </c>
      <c r="C28" s="379"/>
      <c r="D28" s="380"/>
      <c r="E28" s="381"/>
      <c r="F28" s="144"/>
    </row>
    <row r="29" spans="1:6">
      <c r="A29" s="144"/>
      <c r="B29" s="300" t="str">
        <f>IF(ISBLANK(C29),"",_xlfn.XLOOKUP($C29,'General Information'!$C$18:$C$44,'General Information'!$B$18:$B$44))</f>
        <v/>
      </c>
      <c r="C29" s="382"/>
      <c r="D29" s="383"/>
      <c r="E29" s="384"/>
      <c r="F29" s="144"/>
    </row>
    <row r="30" spans="1:6">
      <c r="A30" s="144"/>
      <c r="B30" s="299" t="str">
        <f>IF(ISBLANK(C30),"",_xlfn.XLOOKUP($C30,'General Information'!$C$18:$C$44,'General Information'!$B$18:$B$44))</f>
        <v/>
      </c>
      <c r="C30" s="379"/>
      <c r="D30" s="380"/>
      <c r="E30" s="381"/>
      <c r="F30" s="144"/>
    </row>
    <row r="31" spans="1:6">
      <c r="A31" s="144"/>
      <c r="B31" s="300" t="str">
        <f>IF(ISBLANK(C31),"",_xlfn.XLOOKUP($C31,'General Information'!$C$18:$C$44,'General Information'!$B$18:$B$44))</f>
        <v/>
      </c>
      <c r="C31" s="382"/>
      <c r="D31" s="383"/>
      <c r="E31" s="384"/>
      <c r="F31" s="144"/>
    </row>
    <row r="32" spans="1:6">
      <c r="A32" s="144"/>
      <c r="B32" s="299" t="str">
        <f>IF(ISBLANK(C32),"",_xlfn.XLOOKUP($C32,'General Information'!$C$18:$C$44,'General Information'!$B$18:$B$44))</f>
        <v/>
      </c>
      <c r="C32" s="379"/>
      <c r="D32" s="380"/>
      <c r="E32" s="381"/>
      <c r="F32" s="144"/>
    </row>
    <row r="33" spans="1:7">
      <c r="A33" s="144"/>
      <c r="B33" s="300" t="str">
        <f>IF(ISBLANK(C33),"",_xlfn.XLOOKUP($C33,'General Information'!$C$18:$C$44,'General Information'!$B$18:$B$44))</f>
        <v/>
      </c>
      <c r="C33" s="382"/>
      <c r="D33" s="383"/>
      <c r="E33" s="384"/>
      <c r="F33" s="144"/>
    </row>
    <row r="34" spans="1:7">
      <c r="A34" s="144"/>
      <c r="B34" s="299" t="str">
        <f>IF(ISBLANK(C34),"",_xlfn.XLOOKUP($C34,'General Information'!$C$18:$C$44,'General Information'!$B$18:$B$44))</f>
        <v/>
      </c>
      <c r="C34" s="379"/>
      <c r="D34" s="380"/>
      <c r="E34" s="381"/>
      <c r="F34" s="144"/>
    </row>
    <row r="35" spans="1:7">
      <c r="A35" s="144"/>
      <c r="B35" s="300" t="str">
        <f>IF(ISBLANK(C35),"",_xlfn.XLOOKUP($C35,'General Information'!$C$18:$C$44,'General Information'!$B$18:$B$44))</f>
        <v/>
      </c>
      <c r="C35" s="382"/>
      <c r="D35" s="383"/>
      <c r="E35" s="384"/>
      <c r="F35" s="144"/>
    </row>
    <row r="36" spans="1:7">
      <c r="A36" s="144"/>
      <c r="B36" s="299" t="str">
        <f>IF(ISBLANK(C36),"",_xlfn.XLOOKUP($C36,'General Information'!$C$18:$C$44,'General Information'!$B$18:$B$44))</f>
        <v/>
      </c>
      <c r="C36" s="379"/>
      <c r="D36" s="380"/>
      <c r="E36" s="381"/>
      <c r="F36" s="144"/>
    </row>
    <row r="37" spans="1:7">
      <c r="A37" s="144"/>
      <c r="B37" s="300" t="str">
        <f>IF(ISBLANK(C37),"",_xlfn.XLOOKUP($C37,'General Information'!$C$18:$C$44,'General Information'!$B$18:$B$44))</f>
        <v/>
      </c>
      <c r="C37" s="382"/>
      <c r="D37" s="383"/>
      <c r="E37" s="384"/>
      <c r="F37" s="144"/>
    </row>
    <row r="38" spans="1:7">
      <c r="A38" s="144"/>
      <c r="B38" s="299" t="str">
        <f>IF(ISBLANK(C38),"",_xlfn.XLOOKUP($C38,'General Information'!$C$18:$C$44,'General Information'!$B$18:$B$44))</f>
        <v/>
      </c>
      <c r="C38" s="379"/>
      <c r="D38" s="380"/>
      <c r="E38" s="381"/>
      <c r="F38" s="144"/>
      <c r="G38" s="144"/>
    </row>
    <row r="39" spans="1:7">
      <c r="A39" s="144"/>
      <c r="B39" s="144"/>
      <c r="C39" s="144"/>
      <c r="D39" s="144"/>
      <c r="E39" s="144"/>
      <c r="F39" s="144"/>
      <c r="G39" s="144"/>
    </row>
    <row r="40" spans="1:7" ht="14.5" customHeight="1">
      <c r="A40" s="144"/>
      <c r="B40" s="145" t="s">
        <v>108</v>
      </c>
      <c r="C40" s="145"/>
      <c r="D40" s="144"/>
      <c r="E40" s="144"/>
      <c r="F40" s="144"/>
    </row>
    <row r="41" spans="1:7" ht="14.5" customHeight="1">
      <c r="A41" s="144"/>
      <c r="B41" s="215" t="s">
        <v>35</v>
      </c>
      <c r="C41" s="210" t="s">
        <v>36</v>
      </c>
      <c r="D41" s="213" t="s">
        <v>106</v>
      </c>
      <c r="E41" s="213" t="s">
        <v>68</v>
      </c>
      <c r="F41" s="144"/>
    </row>
    <row r="42" spans="1:7" ht="14.5" customHeight="1">
      <c r="A42" s="144"/>
      <c r="B42" s="299" t="str">
        <f>IF(ISBLANK(C42),"",_xlfn.XLOOKUP($C42,'General Information'!$C$18:$C$44,'General Information'!$B$18:$B$44,""))</f>
        <v/>
      </c>
      <c r="C42" s="379" t="s">
        <v>51</v>
      </c>
      <c r="D42" s="380"/>
      <c r="E42" s="381"/>
    </row>
    <row r="43" spans="1:7" ht="14.5" customHeight="1">
      <c r="A43" s="144"/>
      <c r="B43" s="300" t="str">
        <f>IF(ISBLANK(C43),"",_xlfn.XLOOKUP($C43,'General Information'!$C$18:$C$44,'General Information'!$B$18:$B$44,""))</f>
        <v/>
      </c>
      <c r="C43" s="382"/>
      <c r="D43" s="383"/>
      <c r="E43" s="384"/>
      <c r="F43" s="144"/>
    </row>
    <row r="44" spans="1:7" ht="14.5" customHeight="1">
      <c r="A44" s="144"/>
      <c r="B44" s="299" t="str">
        <f>IF(ISBLANK(C44),"",_xlfn.XLOOKUP($C44,'General Information'!$C$18:$C$44,'General Information'!$B$18:$B$44,""))</f>
        <v/>
      </c>
      <c r="C44" s="379"/>
      <c r="D44" s="380"/>
      <c r="E44" s="381"/>
      <c r="F44" s="144"/>
    </row>
    <row r="45" spans="1:7" ht="14.5" customHeight="1">
      <c r="A45" s="144"/>
      <c r="B45" s="300" t="str">
        <f>IF(ISBLANK(C45),"",_xlfn.XLOOKUP($C45,'General Information'!$C$18:$C$44,'General Information'!$B$18:$B$44,""))</f>
        <v/>
      </c>
      <c r="C45" s="382"/>
      <c r="D45" s="383"/>
      <c r="E45" s="384"/>
      <c r="F45" s="144"/>
    </row>
    <row r="46" spans="1:7" ht="14.5" customHeight="1">
      <c r="A46" s="144"/>
      <c r="B46" s="299" t="str">
        <f>IF(ISBLANK(C46),"",_xlfn.XLOOKUP($C46,'General Information'!$C$18:$C$44,'General Information'!$B$18:$B$44,""))</f>
        <v/>
      </c>
      <c r="C46" s="379"/>
      <c r="D46" s="380"/>
      <c r="E46" s="381"/>
      <c r="F46" s="144"/>
    </row>
    <row r="47" spans="1:7" ht="14.5" customHeight="1">
      <c r="A47" s="144"/>
      <c r="B47" s="300" t="str">
        <f>IF(ISBLANK(C47),"",_xlfn.XLOOKUP($C47,'General Information'!$C$18:$C$44,'General Information'!$B$18:$B$44,""))</f>
        <v/>
      </c>
      <c r="C47" s="382"/>
      <c r="D47" s="383"/>
      <c r="E47" s="384"/>
      <c r="F47" s="144"/>
    </row>
    <row r="48" spans="1:7" ht="14.5" customHeight="1">
      <c r="A48" s="144"/>
      <c r="B48" s="299" t="str">
        <f>IF(ISBLANK(C48),"",_xlfn.XLOOKUP($C48,'General Information'!$C$18:$C$44,'General Information'!$B$18:$B$44,""))</f>
        <v/>
      </c>
      <c r="C48" s="379"/>
      <c r="D48" s="380"/>
      <c r="E48" s="381"/>
      <c r="F48" s="144"/>
    </row>
    <row r="49" spans="1:6" ht="14.5" customHeight="1">
      <c r="A49" s="144"/>
      <c r="B49" s="144"/>
      <c r="C49" s="144"/>
      <c r="D49" s="144"/>
      <c r="E49" s="144"/>
      <c r="F49" s="144"/>
    </row>
    <row r="50" spans="1:6" ht="14.5" customHeight="1">
      <c r="A50" s="144"/>
      <c r="B50" s="144"/>
      <c r="C50" s="144"/>
      <c r="D50" s="144"/>
      <c r="E50" s="144"/>
      <c r="F50" s="144"/>
    </row>
  </sheetData>
  <mergeCells count="5">
    <mergeCell ref="B8:E8"/>
    <mergeCell ref="B7:E7"/>
    <mergeCell ref="B9:E9"/>
    <mergeCell ref="B6:E6"/>
    <mergeCell ref="B4:E4"/>
  </mergeCells>
  <dataValidations count="2">
    <dataValidation type="list" allowBlank="1" showInputMessage="1" showErrorMessage="1" sqref="C12:C38 C47:C48 C44:C45" xr:uid="{B8E6D660-B686-43B4-B191-5CF293AF78BC}">
      <formula1>Plants</formula1>
    </dataValidation>
    <dataValidation type="list" allowBlank="1" showDropDown="1" showInputMessage="1" showErrorMessage="1" sqref="C46 C42:C43" xr:uid="{CAC49DB1-53E4-4136-95B9-1823F63FA1FA}">
      <formula1>Plants</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Modul3.SkipRMU">
                <anchor moveWithCells="1" sizeWithCells="1">
                  <from>
                    <xdr:col>4</xdr:col>
                    <xdr:colOff>0</xdr:colOff>
                    <xdr:row>1</xdr:row>
                    <xdr:rowOff>0</xdr:rowOff>
                  </from>
                  <to>
                    <xdr:col>5</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E52F0D7-DE71-4F4F-8F2B-4DB9121C422B}">
          <x14:formula1>
            <xm:f>'Drop Down'!$T$2:$T$258</xm:f>
          </x14:formula1>
          <xm:sqref>D17:D22 D24 D26:D32 D34:D38</xm:sqref>
        </x14:dataValidation>
        <x14:dataValidation type="list" allowBlank="1" showDropDown="1" showInputMessage="1" showErrorMessage="1" xr:uid="{C16A57C0-E61B-4311-B5A8-D49BE7FD1E81}">
          <x14:formula1>
            <xm:f>'Drop Down'!$T$2:$T$258</xm:f>
          </x14:formula1>
          <xm:sqref>D23 D25 D12:D16 D33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F2856-58F5-46BD-ABD1-FB08A58F89CF}">
  <sheetPr codeName="Tabelle15">
    <tabColor theme="0" tint="-0.249977111117893"/>
  </sheetPr>
  <dimension ref="A1:F200"/>
  <sheetViews>
    <sheetView workbookViewId="0">
      <selection activeCell="E20" sqref="E20"/>
    </sheetView>
  </sheetViews>
  <sheetFormatPr baseColWidth="10" defaultColWidth="0" defaultRowHeight="15" zeroHeight="1"/>
  <cols>
    <col min="1" max="1" width="11" customWidth="1"/>
    <col min="2" max="2" width="36.83203125" customWidth="1"/>
    <col min="3" max="3" width="59.1640625" customWidth="1"/>
    <col min="4" max="4" width="31.6640625" customWidth="1"/>
    <col min="5" max="5" width="41.83203125" customWidth="1"/>
    <col min="6" max="6" width="11.1640625" customWidth="1"/>
    <col min="7" max="16384" width="11" hidden="1"/>
  </cols>
  <sheetData>
    <row r="1" spans="1:6">
      <c r="A1" s="144"/>
      <c r="B1" s="144"/>
      <c r="C1" s="144"/>
      <c r="D1" s="144"/>
      <c r="E1" s="144"/>
      <c r="F1" s="144"/>
    </row>
    <row r="2" spans="1:6" ht="23">
      <c r="A2" s="144"/>
      <c r="B2" s="427" t="s">
        <v>109</v>
      </c>
      <c r="C2" s="427"/>
      <c r="D2" s="427"/>
      <c r="E2" s="427"/>
      <c r="F2" s="427"/>
    </row>
    <row r="3" spans="1:6">
      <c r="A3" s="144"/>
      <c r="B3" s="144"/>
      <c r="C3" s="144"/>
      <c r="D3" s="144"/>
      <c r="E3" s="144"/>
      <c r="F3" s="144"/>
    </row>
    <row r="4" spans="1:6" ht="17">
      <c r="A4" s="144"/>
      <c r="B4" s="438" t="s">
        <v>110</v>
      </c>
      <c r="C4" s="438"/>
      <c r="D4" s="438"/>
      <c r="E4" s="438"/>
      <c r="F4" s="144"/>
    </row>
    <row r="5" spans="1:6">
      <c r="A5" s="144"/>
      <c r="B5" s="144"/>
      <c r="C5" s="144"/>
      <c r="D5" s="144"/>
      <c r="E5" s="144"/>
      <c r="F5" s="144"/>
    </row>
    <row r="6" spans="1:6">
      <c r="A6" s="144"/>
      <c r="B6" s="215" t="s">
        <v>111</v>
      </c>
      <c r="C6" s="215" t="s">
        <v>112</v>
      </c>
      <c r="D6" s="215" t="s">
        <v>113</v>
      </c>
      <c r="E6" s="215" t="s">
        <v>114</v>
      </c>
    </row>
    <row r="7" spans="1:6">
      <c r="A7" s="144"/>
      <c r="B7" s="359" t="s">
        <v>115</v>
      </c>
      <c r="C7" s="360" t="s">
        <v>116</v>
      </c>
      <c r="D7" s="360" t="s">
        <v>117</v>
      </c>
      <c r="E7" s="373" t="s">
        <v>118</v>
      </c>
      <c r="F7" s="144"/>
    </row>
    <row r="8" spans="1:6">
      <c r="A8" s="144"/>
      <c r="B8" s="368" t="s">
        <v>119</v>
      </c>
      <c r="C8" s="194" t="s">
        <v>120</v>
      </c>
      <c r="D8" s="194" t="s">
        <v>121</v>
      </c>
      <c r="E8" s="19" t="s">
        <v>122</v>
      </c>
      <c r="F8" s="144"/>
    </row>
    <row r="9" spans="1:6">
      <c r="A9" s="144"/>
      <c r="B9" s="359" t="s">
        <v>123</v>
      </c>
      <c r="C9" s="360" t="s">
        <v>124</v>
      </c>
      <c r="D9" s="360" t="s">
        <v>125</v>
      </c>
      <c r="E9" s="360" t="s">
        <v>126</v>
      </c>
      <c r="F9" s="144"/>
    </row>
    <row r="10" spans="1:6">
      <c r="A10" s="144"/>
      <c r="B10" s="368" t="s">
        <v>127</v>
      </c>
      <c r="C10" s="194" t="s">
        <v>128</v>
      </c>
      <c r="D10" s="194" t="s">
        <v>129</v>
      </c>
      <c r="E10" s="19" t="s">
        <v>130</v>
      </c>
      <c r="F10" s="144"/>
    </row>
    <row r="11" spans="1:6">
      <c r="A11" s="144"/>
      <c r="B11" s="359" t="s">
        <v>131</v>
      </c>
      <c r="C11" s="360" t="s">
        <v>132</v>
      </c>
      <c r="D11" s="360" t="s">
        <v>107</v>
      </c>
      <c r="E11" s="144"/>
      <c r="F11" s="144"/>
    </row>
    <row r="12" spans="1:6">
      <c r="A12" s="144"/>
      <c r="B12" s="368" t="s">
        <v>133</v>
      </c>
      <c r="C12" s="194" t="s">
        <v>134</v>
      </c>
      <c r="D12" s="194" t="s">
        <v>135</v>
      </c>
      <c r="E12" s="144"/>
      <c r="F12" s="144"/>
    </row>
    <row r="13" spans="1:6">
      <c r="A13" s="144"/>
      <c r="B13" s="359" t="s">
        <v>136</v>
      </c>
      <c r="C13" s="360" t="s">
        <v>137</v>
      </c>
      <c r="D13" s="360" t="s">
        <v>138</v>
      </c>
      <c r="E13" s="144"/>
      <c r="F13" s="144"/>
    </row>
    <row r="14" spans="1:6">
      <c r="A14" s="144"/>
      <c r="B14" s="368" t="s">
        <v>139</v>
      </c>
      <c r="C14" s="194" t="s">
        <v>140</v>
      </c>
      <c r="D14" s="194" t="s">
        <v>141</v>
      </c>
      <c r="E14" s="144"/>
      <c r="F14" s="144"/>
    </row>
    <row r="15" spans="1:6">
      <c r="A15" s="144"/>
      <c r="B15" s="359" t="s">
        <v>142</v>
      </c>
      <c r="C15" s="360" t="s">
        <v>143</v>
      </c>
      <c r="D15" s="360" t="s">
        <v>144</v>
      </c>
      <c r="E15" s="144"/>
      <c r="F15" s="144"/>
    </row>
    <row r="16" spans="1:6">
      <c r="A16" s="144"/>
      <c r="B16" s="368" t="s">
        <v>145</v>
      </c>
      <c r="C16" s="194" t="s">
        <v>146</v>
      </c>
      <c r="D16" s="194" t="s">
        <v>147</v>
      </c>
      <c r="E16" s="144"/>
      <c r="F16" s="144"/>
    </row>
    <row r="17" spans="1:6">
      <c r="A17" s="144"/>
      <c r="B17" s="359" t="s">
        <v>148</v>
      </c>
      <c r="C17" s="360" t="s">
        <v>149</v>
      </c>
      <c r="D17" s="360" t="s">
        <v>150</v>
      </c>
      <c r="E17" s="144"/>
      <c r="F17" s="144"/>
    </row>
    <row r="18" spans="1:6">
      <c r="A18" s="144"/>
      <c r="B18" s="368" t="s">
        <v>151</v>
      </c>
      <c r="C18" s="194" t="s">
        <v>152</v>
      </c>
      <c r="D18" s="194" t="s">
        <v>153</v>
      </c>
      <c r="E18" s="144"/>
      <c r="F18" s="144"/>
    </row>
    <row r="19" spans="1:6">
      <c r="A19" s="144"/>
      <c r="B19" s="359" t="s">
        <v>154</v>
      </c>
      <c r="C19" s="360" t="s">
        <v>155</v>
      </c>
      <c r="D19" s="360" t="s">
        <v>156</v>
      </c>
      <c r="E19" s="144"/>
      <c r="F19" s="144"/>
    </row>
    <row r="20" spans="1:6">
      <c r="A20" s="144"/>
      <c r="B20" s="368" t="s">
        <v>157</v>
      </c>
      <c r="C20" s="194" t="s">
        <v>158</v>
      </c>
      <c r="D20" s="194" t="s">
        <v>159</v>
      </c>
      <c r="E20" s="144"/>
      <c r="F20" s="144"/>
    </row>
    <row r="21" spans="1:6">
      <c r="A21" s="144"/>
      <c r="B21" s="359" t="s">
        <v>160</v>
      </c>
      <c r="C21" s="360" t="s">
        <v>161</v>
      </c>
      <c r="D21" s="360" t="s">
        <v>162</v>
      </c>
      <c r="E21" s="144"/>
      <c r="F21" s="144"/>
    </row>
    <row r="22" spans="1:6">
      <c r="A22" s="144"/>
      <c r="B22" s="368" t="s">
        <v>163</v>
      </c>
      <c r="C22" s="194" t="s">
        <v>164</v>
      </c>
      <c r="D22" s="194" t="s">
        <v>165</v>
      </c>
      <c r="E22" s="144"/>
      <c r="F22" s="144"/>
    </row>
    <row r="23" spans="1:6">
      <c r="A23" s="144"/>
      <c r="B23" s="359" t="s">
        <v>166</v>
      </c>
      <c r="C23" s="360" t="s">
        <v>167</v>
      </c>
      <c r="D23" s="360" t="s">
        <v>168</v>
      </c>
      <c r="E23" s="144"/>
      <c r="F23" s="144"/>
    </row>
    <row r="24" spans="1:6">
      <c r="A24" s="144"/>
      <c r="B24" s="368" t="s">
        <v>169</v>
      </c>
      <c r="C24" s="194" t="s">
        <v>170</v>
      </c>
      <c r="D24" s="194" t="s">
        <v>171</v>
      </c>
      <c r="E24" s="144"/>
      <c r="F24" s="144"/>
    </row>
    <row r="25" spans="1:6">
      <c r="A25" s="144"/>
      <c r="B25" s="359" t="s">
        <v>172</v>
      </c>
      <c r="C25" s="360" t="s">
        <v>173</v>
      </c>
      <c r="D25" s="360" t="s">
        <v>174</v>
      </c>
      <c r="E25" s="144"/>
      <c r="F25" s="144"/>
    </row>
    <row r="26" spans="1:6">
      <c r="A26" s="144"/>
      <c r="B26" s="368" t="s">
        <v>175</v>
      </c>
      <c r="C26" s="194" t="s">
        <v>176</v>
      </c>
      <c r="D26" s="194" t="s">
        <v>177</v>
      </c>
      <c r="E26" s="144"/>
      <c r="F26" s="144"/>
    </row>
    <row r="27" spans="1:6">
      <c r="A27" s="144"/>
      <c r="B27" s="359" t="s">
        <v>178</v>
      </c>
      <c r="C27" s="360" t="s">
        <v>179</v>
      </c>
      <c r="D27" s="144"/>
      <c r="E27" s="144"/>
      <c r="F27" s="144"/>
    </row>
    <row r="28" spans="1:6">
      <c r="A28" s="144"/>
      <c r="B28" s="368" t="s">
        <v>180</v>
      </c>
      <c r="C28" s="369" t="s">
        <v>181</v>
      </c>
      <c r="D28" s="144"/>
      <c r="E28" s="144"/>
      <c r="F28" s="144"/>
    </row>
    <row r="29" spans="1:6">
      <c r="A29" s="144"/>
      <c r="B29" s="359" t="s">
        <v>182</v>
      </c>
      <c r="C29" s="371" t="s">
        <v>183</v>
      </c>
      <c r="D29" s="144"/>
      <c r="E29" s="144"/>
      <c r="F29" s="144"/>
    </row>
    <row r="30" spans="1:6">
      <c r="A30" s="144"/>
      <c r="B30" s="368" t="s">
        <v>184</v>
      </c>
      <c r="C30" s="369" t="s">
        <v>185</v>
      </c>
      <c r="D30" s="144"/>
      <c r="E30" s="144"/>
      <c r="F30" s="144"/>
    </row>
    <row r="31" spans="1:6">
      <c r="A31" s="144"/>
      <c r="B31" s="359" t="s">
        <v>186</v>
      </c>
      <c r="C31" s="371" t="s">
        <v>187</v>
      </c>
      <c r="D31" s="144"/>
      <c r="E31" s="144"/>
      <c r="F31" s="144"/>
    </row>
    <row r="32" spans="1:6">
      <c r="A32" s="144"/>
      <c r="B32" s="368" t="s">
        <v>188</v>
      </c>
      <c r="C32" s="370" t="s">
        <v>189</v>
      </c>
      <c r="D32" s="144"/>
      <c r="E32" s="144"/>
      <c r="F32" s="144"/>
    </row>
    <row r="33" spans="1:6">
      <c r="A33" s="144"/>
      <c r="B33" s="359" t="s">
        <v>190</v>
      </c>
      <c r="C33" s="371" t="s">
        <v>191</v>
      </c>
      <c r="D33" s="144"/>
      <c r="E33" s="144"/>
      <c r="F33" s="144"/>
    </row>
    <row r="34" spans="1:6">
      <c r="A34" s="144"/>
      <c r="B34" s="368" t="s">
        <v>192</v>
      </c>
      <c r="C34" s="194" t="s">
        <v>193</v>
      </c>
      <c r="D34" s="144"/>
      <c r="E34" s="144"/>
      <c r="F34" s="144"/>
    </row>
    <row r="35" spans="1:6">
      <c r="A35" s="144"/>
      <c r="B35" s="359" t="s">
        <v>194</v>
      </c>
      <c r="C35" s="360" t="s">
        <v>195</v>
      </c>
      <c r="D35" s="144"/>
      <c r="E35" s="144"/>
      <c r="F35" s="144"/>
    </row>
    <row r="36" spans="1:6">
      <c r="A36" s="144"/>
      <c r="B36" s="368" t="s">
        <v>196</v>
      </c>
      <c r="C36" s="194" t="s">
        <v>197</v>
      </c>
      <c r="D36" s="144"/>
      <c r="E36" s="144"/>
      <c r="F36" s="144"/>
    </row>
    <row r="37" spans="1:6">
      <c r="A37" s="144"/>
      <c r="B37" s="359" t="s">
        <v>198</v>
      </c>
      <c r="C37" s="360" t="s">
        <v>199</v>
      </c>
      <c r="D37" s="144"/>
      <c r="E37" s="144"/>
      <c r="F37" s="144"/>
    </row>
    <row r="38" spans="1:6">
      <c r="A38" s="144"/>
      <c r="B38" s="368" t="s">
        <v>200</v>
      </c>
      <c r="C38" s="194" t="s">
        <v>201</v>
      </c>
      <c r="D38" s="144"/>
      <c r="E38" s="144"/>
      <c r="F38" s="144"/>
    </row>
    <row r="39" spans="1:6">
      <c r="A39" s="144"/>
      <c r="B39" s="359" t="s">
        <v>202</v>
      </c>
      <c r="C39" s="360" t="s">
        <v>203</v>
      </c>
      <c r="D39" s="144"/>
      <c r="E39" s="144"/>
      <c r="F39" s="144"/>
    </row>
    <row r="40" spans="1:6">
      <c r="A40" s="144"/>
      <c r="B40" s="368" t="s">
        <v>204</v>
      </c>
      <c r="C40" s="194" t="s">
        <v>205</v>
      </c>
      <c r="D40" s="144"/>
      <c r="E40" s="144"/>
      <c r="F40" s="144"/>
    </row>
    <row r="41" spans="1:6">
      <c r="A41" s="144"/>
      <c r="B41" s="359" t="s">
        <v>206</v>
      </c>
      <c r="C41" s="360" t="s">
        <v>207</v>
      </c>
      <c r="D41" s="144"/>
      <c r="E41" s="144"/>
      <c r="F41" s="144"/>
    </row>
    <row r="42" spans="1:6">
      <c r="A42" s="144"/>
      <c r="B42" s="368" t="s">
        <v>208</v>
      </c>
      <c r="C42" s="194" t="s">
        <v>209</v>
      </c>
      <c r="D42" s="144"/>
      <c r="E42" s="144"/>
      <c r="F42" s="144"/>
    </row>
    <row r="43" spans="1:6">
      <c r="A43" s="144"/>
      <c r="B43" s="359" t="s">
        <v>210</v>
      </c>
      <c r="C43" s="360" t="s">
        <v>211</v>
      </c>
      <c r="D43" s="144"/>
      <c r="E43" s="144"/>
      <c r="F43" s="144"/>
    </row>
    <row r="44" spans="1:6">
      <c r="A44" s="144"/>
      <c r="B44" s="368" t="s">
        <v>212</v>
      </c>
      <c r="C44" s="194" t="s">
        <v>213</v>
      </c>
      <c r="D44" s="144"/>
      <c r="E44" s="144"/>
      <c r="F44" s="144"/>
    </row>
    <row r="45" spans="1:6">
      <c r="A45" s="144"/>
      <c r="B45" s="359" t="s">
        <v>214</v>
      </c>
      <c r="C45" s="360" t="s">
        <v>215</v>
      </c>
      <c r="D45" s="144"/>
      <c r="E45" s="144"/>
      <c r="F45" s="144"/>
    </row>
    <row r="46" spans="1:6">
      <c r="A46" s="144"/>
      <c r="B46" s="368" t="s">
        <v>216</v>
      </c>
      <c r="C46" s="194" t="s">
        <v>217</v>
      </c>
      <c r="D46" s="144"/>
      <c r="E46" s="144"/>
      <c r="F46" s="144"/>
    </row>
    <row r="47" spans="1:6">
      <c r="A47" s="144"/>
      <c r="B47" s="359" t="s">
        <v>218</v>
      </c>
      <c r="C47" s="360" t="s">
        <v>219</v>
      </c>
      <c r="D47" s="144"/>
      <c r="E47" s="144"/>
      <c r="F47" s="144"/>
    </row>
    <row r="48" spans="1:6">
      <c r="A48" s="144"/>
      <c r="B48" s="144"/>
      <c r="C48" s="194" t="s">
        <v>220</v>
      </c>
      <c r="D48" s="144"/>
      <c r="E48" s="144"/>
      <c r="F48" s="144"/>
    </row>
    <row r="49" spans="1:6">
      <c r="A49" s="144"/>
      <c r="B49" s="144"/>
      <c r="C49" s="360" t="s">
        <v>221</v>
      </c>
      <c r="D49" s="144"/>
      <c r="E49" s="144"/>
      <c r="F49" s="144"/>
    </row>
    <row r="50" spans="1:6">
      <c r="A50" s="144"/>
      <c r="B50" s="144"/>
      <c r="C50" s="194" t="s">
        <v>222</v>
      </c>
      <c r="D50" s="144"/>
      <c r="E50" s="144"/>
      <c r="F50" s="144"/>
    </row>
    <row r="51" spans="1:6">
      <c r="A51" s="144"/>
      <c r="B51" s="144"/>
      <c r="C51" s="360" t="s">
        <v>223</v>
      </c>
      <c r="D51" s="144"/>
      <c r="E51" s="144"/>
      <c r="F51" s="144"/>
    </row>
    <row r="52" spans="1:6">
      <c r="A52" s="144"/>
      <c r="B52" s="144"/>
      <c r="C52" s="194" t="s">
        <v>224</v>
      </c>
      <c r="D52" s="144"/>
      <c r="E52" s="144"/>
      <c r="F52" s="144"/>
    </row>
    <row r="53" spans="1:6">
      <c r="A53" s="144"/>
      <c r="B53" s="144"/>
      <c r="C53" s="360" t="s">
        <v>225</v>
      </c>
      <c r="D53" s="144"/>
      <c r="E53" s="144"/>
      <c r="F53" s="144"/>
    </row>
    <row r="54" spans="1:6">
      <c r="A54" s="144"/>
      <c r="B54" s="144"/>
      <c r="C54" s="194" t="s">
        <v>226</v>
      </c>
      <c r="D54" s="144"/>
      <c r="E54" s="144"/>
      <c r="F54" s="144"/>
    </row>
    <row r="55" spans="1:6">
      <c r="A55" s="144"/>
      <c r="B55" s="144"/>
      <c r="C55" s="360" t="s">
        <v>227</v>
      </c>
      <c r="D55" s="144"/>
      <c r="E55" s="144"/>
      <c r="F55" s="144"/>
    </row>
    <row r="56" spans="1:6">
      <c r="A56" s="144"/>
      <c r="B56" s="144"/>
      <c r="C56" s="194" t="s">
        <v>228</v>
      </c>
      <c r="D56" s="144"/>
      <c r="E56" s="144"/>
      <c r="F56" s="144"/>
    </row>
    <row r="57" spans="1:6">
      <c r="A57" s="144"/>
      <c r="B57" s="144"/>
      <c r="C57" s="360" t="s">
        <v>229</v>
      </c>
      <c r="D57" s="144"/>
      <c r="E57" s="144"/>
      <c r="F57" s="144"/>
    </row>
    <row r="58" spans="1:6">
      <c r="A58" s="144"/>
      <c r="B58" s="144"/>
      <c r="C58" s="194" t="s">
        <v>230</v>
      </c>
      <c r="D58" s="144"/>
      <c r="E58" s="144"/>
      <c r="F58" s="144"/>
    </row>
    <row r="59" spans="1:6">
      <c r="A59" s="144"/>
      <c r="B59" s="144"/>
      <c r="C59" s="360" t="s">
        <v>231</v>
      </c>
      <c r="D59" s="144"/>
      <c r="E59" s="144"/>
      <c r="F59" s="144"/>
    </row>
    <row r="60" spans="1:6">
      <c r="A60" s="144"/>
      <c r="B60" s="144"/>
      <c r="C60" s="194" t="s">
        <v>232</v>
      </c>
      <c r="D60" s="144"/>
      <c r="E60" s="144"/>
      <c r="F60" s="144"/>
    </row>
    <row r="61" spans="1:6">
      <c r="A61" s="144"/>
      <c r="B61" s="144"/>
      <c r="C61" s="360" t="s">
        <v>233</v>
      </c>
      <c r="D61" s="144"/>
      <c r="E61" s="144"/>
      <c r="F61" s="144"/>
    </row>
    <row r="62" spans="1:6">
      <c r="A62" s="144"/>
      <c r="B62" s="144"/>
      <c r="C62" s="194" t="s">
        <v>234</v>
      </c>
      <c r="D62" s="144"/>
      <c r="E62" s="144"/>
      <c r="F62" s="144"/>
    </row>
    <row r="63" spans="1:6">
      <c r="A63" s="144"/>
      <c r="B63" s="144"/>
      <c r="C63" s="360" t="s">
        <v>235</v>
      </c>
      <c r="D63" s="144"/>
      <c r="E63" s="144"/>
      <c r="F63" s="144"/>
    </row>
    <row r="64" spans="1:6">
      <c r="A64" s="144"/>
      <c r="B64" s="144"/>
      <c r="C64" s="194" t="s">
        <v>236</v>
      </c>
      <c r="D64" s="144"/>
      <c r="E64" s="144"/>
      <c r="F64" s="144"/>
    </row>
    <row r="65" spans="1:6">
      <c r="A65" s="144"/>
      <c r="B65" s="144"/>
      <c r="C65" s="360" t="s">
        <v>237</v>
      </c>
      <c r="D65" s="144"/>
      <c r="E65" s="144"/>
      <c r="F65" s="144"/>
    </row>
    <row r="66" spans="1:6">
      <c r="A66" s="144"/>
      <c r="B66" s="144"/>
      <c r="C66" s="194" t="s">
        <v>238</v>
      </c>
      <c r="D66" s="144"/>
      <c r="E66" s="144"/>
      <c r="F66" s="144"/>
    </row>
    <row r="67" spans="1:6">
      <c r="A67" s="144"/>
      <c r="B67" s="144"/>
      <c r="C67" s="360" t="s">
        <v>239</v>
      </c>
      <c r="D67" s="144"/>
      <c r="E67" s="144"/>
      <c r="F67" s="144"/>
    </row>
    <row r="68" spans="1:6">
      <c r="A68" s="144"/>
      <c r="B68" s="144"/>
      <c r="C68" s="194" t="s">
        <v>240</v>
      </c>
      <c r="D68" s="144"/>
      <c r="E68" s="144"/>
      <c r="F68" s="144"/>
    </row>
    <row r="69" spans="1:6">
      <c r="A69" s="144"/>
      <c r="B69" s="144"/>
      <c r="C69" s="360" t="s">
        <v>241</v>
      </c>
      <c r="D69" s="144"/>
      <c r="E69" s="144"/>
      <c r="F69" s="144"/>
    </row>
    <row r="70" spans="1:6">
      <c r="A70" s="144"/>
      <c r="B70" s="144"/>
      <c r="C70" s="194" t="s">
        <v>242</v>
      </c>
      <c r="D70" s="144"/>
      <c r="E70" s="144"/>
      <c r="F70" s="144"/>
    </row>
    <row r="71" spans="1:6">
      <c r="A71" s="144"/>
      <c r="B71" s="144"/>
      <c r="C71" s="360" t="s">
        <v>243</v>
      </c>
      <c r="D71" s="144"/>
      <c r="E71" s="144"/>
      <c r="F71" s="144"/>
    </row>
    <row r="72" spans="1:6">
      <c r="A72" s="144"/>
      <c r="B72" s="144"/>
      <c r="C72" s="194" t="s">
        <v>244</v>
      </c>
      <c r="D72" s="144"/>
      <c r="E72" s="144"/>
      <c r="F72" s="144"/>
    </row>
    <row r="73" spans="1:6">
      <c r="A73" s="144"/>
      <c r="B73" s="144"/>
      <c r="C73" s="360" t="s">
        <v>245</v>
      </c>
      <c r="D73" s="144"/>
      <c r="E73" s="144"/>
      <c r="F73" s="144"/>
    </row>
    <row r="74" spans="1:6">
      <c r="A74" s="144"/>
      <c r="B74" s="144"/>
      <c r="C74" s="194" t="s">
        <v>246</v>
      </c>
      <c r="D74" s="144"/>
      <c r="E74" s="144"/>
      <c r="F74" s="144"/>
    </row>
    <row r="75" spans="1:6">
      <c r="A75" s="144"/>
      <c r="B75" s="144"/>
      <c r="C75" s="360" t="s">
        <v>247</v>
      </c>
      <c r="D75" s="144"/>
      <c r="E75" s="144"/>
      <c r="F75" s="144"/>
    </row>
    <row r="76" spans="1:6">
      <c r="A76" s="144"/>
      <c r="B76" s="144"/>
      <c r="C76" s="194" t="s">
        <v>248</v>
      </c>
      <c r="D76" s="144"/>
      <c r="E76" s="144"/>
      <c r="F76" s="144"/>
    </row>
    <row r="77" spans="1:6">
      <c r="A77" s="144"/>
      <c r="B77" s="144"/>
      <c r="C77" s="360" t="s">
        <v>249</v>
      </c>
      <c r="D77" s="144"/>
      <c r="E77" s="144"/>
      <c r="F77" s="144"/>
    </row>
    <row r="78" spans="1:6">
      <c r="A78" s="144"/>
      <c r="B78" s="144"/>
      <c r="C78" s="194" t="s">
        <v>250</v>
      </c>
      <c r="D78" s="144"/>
      <c r="E78" s="144"/>
      <c r="F78" s="144"/>
    </row>
    <row r="79" spans="1:6">
      <c r="A79" s="144"/>
      <c r="B79" s="144"/>
      <c r="C79" s="360" t="s">
        <v>251</v>
      </c>
      <c r="D79" s="144"/>
      <c r="E79" s="144"/>
      <c r="F79" s="144"/>
    </row>
    <row r="80" spans="1:6">
      <c r="A80" s="144"/>
      <c r="B80" s="144"/>
      <c r="C80" s="194" t="s">
        <v>252</v>
      </c>
      <c r="D80" s="144"/>
      <c r="E80" s="144"/>
      <c r="F80" s="144"/>
    </row>
    <row r="81" spans="1:6">
      <c r="A81" s="144"/>
      <c r="B81" s="144"/>
      <c r="C81" s="360" t="s">
        <v>253</v>
      </c>
      <c r="D81" s="144"/>
      <c r="E81" s="144"/>
      <c r="F81" s="144"/>
    </row>
    <row r="82" spans="1:6">
      <c r="A82" s="144"/>
      <c r="B82" s="144"/>
      <c r="C82" s="194" t="s">
        <v>254</v>
      </c>
      <c r="D82" s="144"/>
      <c r="E82" s="144"/>
      <c r="F82" s="144"/>
    </row>
    <row r="83" spans="1:6">
      <c r="A83" s="144"/>
      <c r="B83" s="144"/>
      <c r="C83" s="360" t="s">
        <v>255</v>
      </c>
      <c r="D83" s="144"/>
      <c r="E83" s="144"/>
      <c r="F83" s="144"/>
    </row>
    <row r="84" spans="1:6">
      <c r="A84" s="144"/>
      <c r="B84" s="144"/>
      <c r="C84" s="194" t="s">
        <v>256</v>
      </c>
      <c r="D84" s="144"/>
      <c r="E84" s="144"/>
      <c r="F84" s="144"/>
    </row>
    <row r="85" spans="1:6">
      <c r="A85" s="144"/>
      <c r="B85" s="144"/>
      <c r="C85" s="360" t="s">
        <v>257</v>
      </c>
      <c r="D85" s="144"/>
      <c r="E85" s="144"/>
      <c r="F85" s="144"/>
    </row>
    <row r="86" spans="1:6">
      <c r="A86" s="144"/>
      <c r="B86" s="144"/>
      <c r="C86" s="194" t="s">
        <v>258</v>
      </c>
      <c r="D86" s="144"/>
      <c r="E86" s="144"/>
      <c r="F86" s="144"/>
    </row>
    <row r="87" spans="1:6">
      <c r="A87" s="144"/>
      <c r="B87" s="144"/>
      <c r="C87" s="360" t="s">
        <v>259</v>
      </c>
      <c r="D87" s="144"/>
      <c r="E87" s="144"/>
      <c r="F87" s="144"/>
    </row>
    <row r="88" spans="1:6">
      <c r="A88" s="144"/>
      <c r="B88" s="144"/>
      <c r="C88" s="194" t="s">
        <v>260</v>
      </c>
      <c r="D88" s="144"/>
      <c r="E88" s="144"/>
      <c r="F88" s="144"/>
    </row>
    <row r="89" spans="1:6">
      <c r="A89" s="144"/>
      <c r="B89" s="144"/>
      <c r="C89" s="360" t="s">
        <v>261</v>
      </c>
      <c r="D89" s="144"/>
      <c r="E89" s="144"/>
      <c r="F89" s="144"/>
    </row>
    <row r="90" spans="1:6">
      <c r="A90" s="144"/>
      <c r="B90" s="144"/>
      <c r="C90" s="194" t="s">
        <v>262</v>
      </c>
      <c r="D90" s="144"/>
      <c r="E90" s="144"/>
      <c r="F90" s="144"/>
    </row>
    <row r="91" spans="1:6">
      <c r="A91" s="144"/>
      <c r="B91" s="144"/>
      <c r="C91" s="360" t="s">
        <v>263</v>
      </c>
      <c r="D91" s="144"/>
      <c r="E91" s="144"/>
      <c r="F91" s="144"/>
    </row>
    <row r="92" spans="1:6">
      <c r="A92" s="144"/>
      <c r="B92" s="144"/>
      <c r="C92" s="194" t="s">
        <v>264</v>
      </c>
      <c r="D92" s="144"/>
      <c r="E92" s="144"/>
      <c r="F92" s="144"/>
    </row>
    <row r="93" spans="1:6">
      <c r="A93" s="144"/>
      <c r="B93" s="144"/>
      <c r="C93" s="360" t="s">
        <v>265</v>
      </c>
      <c r="D93" s="144"/>
      <c r="E93" s="144"/>
      <c r="F93" s="144"/>
    </row>
    <row r="94" spans="1:6">
      <c r="A94" s="144"/>
      <c r="B94" s="144"/>
      <c r="C94" s="194" t="s">
        <v>266</v>
      </c>
      <c r="D94" s="144"/>
      <c r="E94" s="144"/>
      <c r="F94" s="144"/>
    </row>
    <row r="95" spans="1:6">
      <c r="A95" s="144"/>
      <c r="B95" s="144"/>
      <c r="C95" s="360" t="s">
        <v>267</v>
      </c>
      <c r="D95" s="144"/>
      <c r="E95" s="144"/>
      <c r="F95" s="144"/>
    </row>
    <row r="96" spans="1:6">
      <c r="A96" s="144"/>
      <c r="B96" s="144"/>
      <c r="C96" s="194" t="s">
        <v>268</v>
      </c>
      <c r="D96" s="144"/>
      <c r="E96" s="144"/>
      <c r="F96" s="144"/>
    </row>
    <row r="97" spans="1:6">
      <c r="A97" s="144"/>
      <c r="B97" s="144"/>
      <c r="C97" s="360" t="s">
        <v>269</v>
      </c>
      <c r="D97" s="144"/>
      <c r="E97" s="144"/>
      <c r="F97" s="144"/>
    </row>
    <row r="98" spans="1:6">
      <c r="A98" s="144"/>
      <c r="B98" s="144"/>
      <c r="C98" s="194" t="s">
        <v>270</v>
      </c>
      <c r="D98" s="144"/>
      <c r="E98" s="144"/>
      <c r="F98" s="144"/>
    </row>
    <row r="99" spans="1:6">
      <c r="A99" s="144"/>
      <c r="B99" s="144"/>
      <c r="C99" s="360" t="s">
        <v>271</v>
      </c>
      <c r="D99" s="144"/>
      <c r="E99" s="144"/>
      <c r="F99" s="144"/>
    </row>
    <row r="100" spans="1:6">
      <c r="A100" s="144"/>
      <c r="B100" s="144"/>
      <c r="C100" s="194" t="s">
        <v>272</v>
      </c>
      <c r="D100" s="144"/>
      <c r="E100" s="144"/>
      <c r="F100" s="144"/>
    </row>
    <row r="101" spans="1:6">
      <c r="A101" s="144"/>
      <c r="B101" s="144"/>
      <c r="C101" s="360" t="s">
        <v>273</v>
      </c>
      <c r="D101" s="144"/>
      <c r="E101" s="144"/>
      <c r="F101" s="144"/>
    </row>
    <row r="102" spans="1:6">
      <c r="A102" s="144"/>
      <c r="B102" s="144"/>
      <c r="C102" s="194" t="s">
        <v>274</v>
      </c>
      <c r="D102" s="144"/>
      <c r="E102" s="144"/>
      <c r="F102" s="144"/>
    </row>
    <row r="103" spans="1:6">
      <c r="A103" s="144"/>
      <c r="B103" s="144"/>
      <c r="C103" s="360" t="s">
        <v>275</v>
      </c>
      <c r="D103" s="144"/>
      <c r="E103" s="144"/>
      <c r="F103" s="144"/>
    </row>
    <row r="104" spans="1:6">
      <c r="A104" s="144"/>
      <c r="B104" s="144"/>
      <c r="C104" s="194" t="s">
        <v>276</v>
      </c>
      <c r="D104" s="144"/>
      <c r="E104" s="144"/>
      <c r="F104" s="144"/>
    </row>
    <row r="105" spans="1:6">
      <c r="A105" s="144"/>
      <c r="B105" s="144"/>
      <c r="C105" s="360" t="s">
        <v>277</v>
      </c>
      <c r="D105" s="144"/>
      <c r="E105" s="144"/>
      <c r="F105" s="144"/>
    </row>
    <row r="106" spans="1:6">
      <c r="A106" s="144"/>
      <c r="B106" s="144"/>
      <c r="C106" s="194" t="s">
        <v>278</v>
      </c>
      <c r="D106" s="144"/>
      <c r="E106" s="144"/>
      <c r="F106" s="144"/>
    </row>
    <row r="107" spans="1:6">
      <c r="A107" s="144"/>
      <c r="B107" s="144"/>
      <c r="C107" s="360" t="s">
        <v>279</v>
      </c>
      <c r="D107" s="144"/>
      <c r="E107" s="144"/>
      <c r="F107" s="144"/>
    </row>
    <row r="108" spans="1:6">
      <c r="A108" s="144"/>
      <c r="B108" s="144"/>
      <c r="C108" s="194" t="s">
        <v>280</v>
      </c>
      <c r="D108" s="144"/>
      <c r="E108" s="144"/>
      <c r="F108" s="144"/>
    </row>
    <row r="109" spans="1:6">
      <c r="A109" s="144"/>
      <c r="B109" s="144"/>
      <c r="C109" s="360" t="s">
        <v>281</v>
      </c>
      <c r="D109" s="144"/>
      <c r="E109" s="144"/>
      <c r="F109" s="144"/>
    </row>
    <row r="110" spans="1:6">
      <c r="A110" s="144"/>
      <c r="B110" s="144"/>
      <c r="C110" s="194" t="s">
        <v>282</v>
      </c>
      <c r="D110" s="144"/>
      <c r="E110" s="144"/>
      <c r="F110" s="144"/>
    </row>
    <row r="111" spans="1:6">
      <c r="A111" s="144"/>
      <c r="B111" s="144"/>
      <c r="C111" s="360" t="s">
        <v>283</v>
      </c>
      <c r="D111" s="144"/>
      <c r="E111" s="144"/>
      <c r="F111" s="144"/>
    </row>
    <row r="112" spans="1:6">
      <c r="A112" s="144"/>
      <c r="B112" s="144"/>
      <c r="C112" s="194" t="s">
        <v>284</v>
      </c>
      <c r="D112" s="144"/>
      <c r="E112" s="144"/>
      <c r="F112" s="144"/>
    </row>
    <row r="113" spans="1:6">
      <c r="A113" s="144"/>
      <c r="B113" s="144"/>
      <c r="C113" s="360" t="s">
        <v>285</v>
      </c>
      <c r="D113" s="144"/>
      <c r="E113" s="144"/>
      <c r="F113" s="144"/>
    </row>
    <row r="114" spans="1:6">
      <c r="A114" s="144"/>
      <c r="B114" s="144"/>
      <c r="C114" s="194" t="s">
        <v>286</v>
      </c>
      <c r="D114" s="144"/>
      <c r="E114" s="144"/>
      <c r="F114" s="144"/>
    </row>
    <row r="115" spans="1:6">
      <c r="A115" s="144"/>
      <c r="B115" s="144"/>
      <c r="C115" s="360" t="s">
        <v>287</v>
      </c>
      <c r="D115" s="144"/>
      <c r="E115" s="144"/>
      <c r="F115" s="144"/>
    </row>
    <row r="116" spans="1:6">
      <c r="A116" s="144"/>
      <c r="B116" s="144"/>
      <c r="C116" s="194" t="s">
        <v>288</v>
      </c>
      <c r="D116" s="144"/>
      <c r="E116" s="144"/>
      <c r="F116" s="144"/>
    </row>
    <row r="117" spans="1:6">
      <c r="A117" s="144"/>
      <c r="B117" s="144"/>
      <c r="C117" s="360" t="s">
        <v>289</v>
      </c>
      <c r="D117" s="144"/>
      <c r="E117" s="144"/>
      <c r="F117" s="144"/>
    </row>
    <row r="118" spans="1:6">
      <c r="A118" s="144"/>
      <c r="B118" s="144"/>
      <c r="C118" s="194" t="s">
        <v>290</v>
      </c>
      <c r="D118" s="144"/>
      <c r="E118" s="144"/>
      <c r="F118" s="144"/>
    </row>
    <row r="119" spans="1:6">
      <c r="A119" s="144"/>
      <c r="B119" s="144"/>
      <c r="C119" s="360" t="s">
        <v>291</v>
      </c>
      <c r="D119" s="144"/>
      <c r="E119" s="144"/>
      <c r="F119" s="144"/>
    </row>
    <row r="120" spans="1:6">
      <c r="A120" s="144"/>
      <c r="B120" s="144"/>
      <c r="C120" s="194" t="s">
        <v>292</v>
      </c>
      <c r="D120" s="144"/>
      <c r="E120" s="144"/>
      <c r="F120" s="144"/>
    </row>
    <row r="121" spans="1:6">
      <c r="A121" s="144"/>
      <c r="B121" s="144"/>
      <c r="C121" s="360" t="s">
        <v>293</v>
      </c>
      <c r="D121" s="144"/>
      <c r="E121" s="144"/>
      <c r="F121" s="144"/>
    </row>
    <row r="122" spans="1:6">
      <c r="A122" s="144"/>
      <c r="B122" s="144"/>
      <c r="C122" s="194" t="s">
        <v>294</v>
      </c>
      <c r="D122" s="144"/>
      <c r="E122" s="144"/>
      <c r="F122" s="144"/>
    </row>
    <row r="123" spans="1:6">
      <c r="A123" s="144"/>
      <c r="B123" s="144"/>
      <c r="C123" s="360" t="s">
        <v>295</v>
      </c>
      <c r="D123" s="144"/>
      <c r="E123" s="144"/>
      <c r="F123" s="144"/>
    </row>
    <row r="124" spans="1:6">
      <c r="A124" s="144"/>
      <c r="B124" s="144"/>
      <c r="C124" s="194" t="s">
        <v>296</v>
      </c>
      <c r="D124" s="144"/>
      <c r="E124" s="144"/>
      <c r="F124" s="144"/>
    </row>
    <row r="125" spans="1:6">
      <c r="A125" s="144"/>
      <c r="B125" s="144"/>
      <c r="C125" s="360" t="s">
        <v>297</v>
      </c>
      <c r="D125" s="144"/>
      <c r="E125" s="144"/>
      <c r="F125" s="144"/>
    </row>
    <row r="126" spans="1:6">
      <c r="A126" s="144"/>
      <c r="B126" s="144"/>
      <c r="C126" s="194" t="s">
        <v>298</v>
      </c>
      <c r="D126" s="144"/>
      <c r="E126" s="144"/>
      <c r="F126" s="144"/>
    </row>
    <row r="127" spans="1:6">
      <c r="A127" s="144"/>
      <c r="B127" s="144"/>
      <c r="C127" s="360" t="s">
        <v>299</v>
      </c>
      <c r="D127" s="144"/>
      <c r="E127" s="144"/>
      <c r="F127" s="144"/>
    </row>
    <row r="128" spans="1:6">
      <c r="A128" s="144"/>
      <c r="B128" s="144"/>
      <c r="C128" s="194" t="s">
        <v>300</v>
      </c>
      <c r="D128" s="144"/>
      <c r="E128" s="144"/>
      <c r="F128" s="144"/>
    </row>
    <row r="129" spans="1:6">
      <c r="A129" s="144"/>
      <c r="B129" s="144"/>
      <c r="C129" s="360" t="s">
        <v>301</v>
      </c>
      <c r="D129" s="144"/>
      <c r="E129" s="144"/>
      <c r="F129" s="144"/>
    </row>
    <row r="130" spans="1:6">
      <c r="A130" s="144"/>
      <c r="B130" s="144"/>
      <c r="C130" s="194" t="s">
        <v>302</v>
      </c>
      <c r="D130" s="144"/>
      <c r="E130" s="144"/>
      <c r="F130" s="144"/>
    </row>
    <row r="131" spans="1:6">
      <c r="A131" s="144"/>
      <c r="B131" s="144"/>
      <c r="C131" s="360" t="s">
        <v>303</v>
      </c>
      <c r="D131" s="144"/>
      <c r="E131" s="144"/>
      <c r="F131" s="144"/>
    </row>
    <row r="132" spans="1:6">
      <c r="A132" s="144"/>
      <c r="B132" s="144"/>
      <c r="C132" s="194" t="s">
        <v>304</v>
      </c>
      <c r="D132" s="144"/>
      <c r="E132" s="144"/>
      <c r="F132" s="144"/>
    </row>
    <row r="133" spans="1:6">
      <c r="A133" s="144"/>
      <c r="B133" s="144"/>
      <c r="C133" s="360" t="s">
        <v>305</v>
      </c>
      <c r="D133" s="144"/>
      <c r="E133" s="144"/>
      <c r="F133" s="144"/>
    </row>
    <row r="134" spans="1:6">
      <c r="A134" s="144"/>
      <c r="B134" s="144"/>
      <c r="C134" s="194" t="s">
        <v>306</v>
      </c>
      <c r="D134" s="144"/>
      <c r="E134" s="144"/>
      <c r="F134" s="144"/>
    </row>
    <row r="135" spans="1:6">
      <c r="A135" s="144"/>
      <c r="B135" s="144"/>
      <c r="C135" s="360" t="s">
        <v>307</v>
      </c>
      <c r="D135" s="144"/>
      <c r="E135" s="144"/>
      <c r="F135" s="144"/>
    </row>
    <row r="136" spans="1:6">
      <c r="A136" s="144"/>
      <c r="B136" s="144"/>
      <c r="C136" s="194" t="s">
        <v>308</v>
      </c>
      <c r="D136" s="144"/>
      <c r="E136" s="144"/>
      <c r="F136" s="144"/>
    </row>
    <row r="137" spans="1:6">
      <c r="A137" s="144"/>
      <c r="B137" s="144"/>
      <c r="C137" s="360" t="s">
        <v>309</v>
      </c>
      <c r="D137" s="144"/>
      <c r="E137" s="144"/>
      <c r="F137" s="144"/>
    </row>
    <row r="138" spans="1:6">
      <c r="A138" s="144"/>
      <c r="B138" s="144"/>
      <c r="C138" s="194" t="s">
        <v>310</v>
      </c>
      <c r="D138" s="144"/>
      <c r="E138" s="144"/>
      <c r="F138" s="144"/>
    </row>
    <row r="139" spans="1:6">
      <c r="A139" s="144"/>
      <c r="B139" s="144"/>
      <c r="C139" s="360" t="s">
        <v>311</v>
      </c>
      <c r="D139" s="144"/>
      <c r="E139" s="144"/>
      <c r="F139" s="144"/>
    </row>
    <row r="140" spans="1:6">
      <c r="A140" s="144"/>
      <c r="B140" s="144"/>
      <c r="C140" s="194" t="s">
        <v>312</v>
      </c>
      <c r="D140" s="144"/>
      <c r="E140" s="144"/>
      <c r="F140" s="144"/>
    </row>
    <row r="141" spans="1:6">
      <c r="A141" s="144"/>
      <c r="B141" s="144"/>
      <c r="C141" s="360" t="s">
        <v>313</v>
      </c>
      <c r="D141" s="144"/>
      <c r="E141" s="144"/>
      <c r="F141" s="144"/>
    </row>
    <row r="142" spans="1:6">
      <c r="A142" s="144"/>
      <c r="B142" s="144"/>
      <c r="C142" s="194" t="s">
        <v>314</v>
      </c>
      <c r="D142" s="144"/>
      <c r="E142" s="144"/>
      <c r="F142" s="144"/>
    </row>
    <row r="143" spans="1:6">
      <c r="A143" s="144"/>
      <c r="B143" s="144"/>
      <c r="C143" s="360" t="s">
        <v>315</v>
      </c>
      <c r="D143" s="144"/>
      <c r="E143" s="144"/>
      <c r="F143" s="144"/>
    </row>
    <row r="144" spans="1:6">
      <c r="A144" s="144"/>
      <c r="B144" s="144"/>
      <c r="C144" s="194" t="s">
        <v>316</v>
      </c>
      <c r="D144" s="144"/>
      <c r="E144" s="144"/>
      <c r="F144" s="144"/>
    </row>
    <row r="145" spans="1:6">
      <c r="A145" s="144"/>
      <c r="B145" s="144"/>
      <c r="C145" s="360" t="s">
        <v>317</v>
      </c>
      <c r="D145" s="144"/>
      <c r="E145" s="144"/>
      <c r="F145" s="144"/>
    </row>
    <row r="146" spans="1:6">
      <c r="A146" s="144"/>
      <c r="B146" s="144"/>
      <c r="C146" s="194" t="s">
        <v>318</v>
      </c>
      <c r="D146" s="144"/>
      <c r="E146" s="144"/>
      <c r="F146" s="144"/>
    </row>
    <row r="147" spans="1:6">
      <c r="A147" s="144"/>
      <c r="B147" s="144"/>
      <c r="C147" s="360" t="s">
        <v>319</v>
      </c>
      <c r="D147" s="144"/>
      <c r="E147" s="144"/>
      <c r="F147" s="144"/>
    </row>
    <row r="148" spans="1:6">
      <c r="A148" s="144"/>
      <c r="B148" s="144"/>
      <c r="C148" s="194" t="s">
        <v>320</v>
      </c>
      <c r="D148" s="144"/>
      <c r="E148" s="144"/>
      <c r="F148" s="144"/>
    </row>
    <row r="149" spans="1:6">
      <c r="A149" s="144"/>
      <c r="B149" s="144"/>
      <c r="C149" s="360" t="s">
        <v>321</v>
      </c>
      <c r="D149" s="144"/>
      <c r="E149" s="144"/>
      <c r="F149" s="144"/>
    </row>
    <row r="150" spans="1:6">
      <c r="A150" s="144"/>
      <c r="B150" s="144"/>
      <c r="C150" s="194" t="s">
        <v>322</v>
      </c>
      <c r="D150" s="144"/>
      <c r="E150" s="144"/>
      <c r="F150" s="144"/>
    </row>
    <row r="151" spans="1:6">
      <c r="A151" s="144"/>
      <c r="B151" s="144"/>
      <c r="C151" s="360" t="s">
        <v>323</v>
      </c>
      <c r="D151" s="144"/>
      <c r="E151" s="144"/>
      <c r="F151" s="144"/>
    </row>
    <row r="152" spans="1:6">
      <c r="A152" s="144"/>
      <c r="B152" s="144"/>
      <c r="C152" s="194" t="s">
        <v>324</v>
      </c>
      <c r="D152" s="144"/>
      <c r="E152" s="144"/>
      <c r="F152" s="144"/>
    </row>
    <row r="153" spans="1:6">
      <c r="A153" s="144"/>
      <c r="B153" s="144"/>
      <c r="C153" s="360" t="s">
        <v>325</v>
      </c>
      <c r="D153" s="144"/>
      <c r="E153" s="144"/>
      <c r="F153" s="144"/>
    </row>
    <row r="154" spans="1:6">
      <c r="A154" s="144"/>
      <c r="B154" s="144"/>
      <c r="C154" s="194" t="s">
        <v>326</v>
      </c>
      <c r="D154" s="144"/>
      <c r="E154" s="144"/>
      <c r="F154" s="144"/>
    </row>
    <row r="155" spans="1:6">
      <c r="A155" s="144"/>
      <c r="B155" s="144"/>
      <c r="C155" s="360" t="s">
        <v>327</v>
      </c>
      <c r="D155" s="144"/>
      <c r="E155" s="144"/>
      <c r="F155" s="144"/>
    </row>
    <row r="156" spans="1:6">
      <c r="A156" s="144"/>
      <c r="B156" s="144"/>
      <c r="C156" s="194" t="s">
        <v>328</v>
      </c>
      <c r="D156" s="144"/>
      <c r="E156" s="144"/>
      <c r="F156" s="144"/>
    </row>
    <row r="157" spans="1:6">
      <c r="A157" s="144"/>
      <c r="B157" s="144"/>
      <c r="C157" s="360" t="s">
        <v>329</v>
      </c>
      <c r="D157" s="144"/>
      <c r="E157" s="144"/>
      <c r="F157" s="144"/>
    </row>
    <row r="158" spans="1:6">
      <c r="A158" s="144"/>
      <c r="B158" s="144"/>
      <c r="C158" s="194" t="s">
        <v>330</v>
      </c>
      <c r="D158" s="144"/>
      <c r="E158" s="144"/>
      <c r="F158" s="144"/>
    </row>
    <row r="159" spans="1:6">
      <c r="A159" s="144"/>
      <c r="B159" s="144"/>
      <c r="C159" s="360" t="s">
        <v>331</v>
      </c>
      <c r="D159" s="144"/>
      <c r="E159" s="144"/>
      <c r="F159" s="144"/>
    </row>
    <row r="160" spans="1:6">
      <c r="A160" s="144"/>
      <c r="B160" s="144"/>
      <c r="C160" s="194" t="s">
        <v>332</v>
      </c>
      <c r="D160" s="144"/>
      <c r="E160" s="144"/>
      <c r="F160" s="144"/>
    </row>
    <row r="161" spans="1:6">
      <c r="A161" s="144"/>
      <c r="B161" s="144"/>
      <c r="C161" s="360" t="s">
        <v>333</v>
      </c>
      <c r="D161" s="144"/>
      <c r="E161" s="144"/>
      <c r="F161" s="144"/>
    </row>
    <row r="162" spans="1:6">
      <c r="A162" s="144"/>
      <c r="B162" s="144"/>
      <c r="C162" s="194" t="s">
        <v>334</v>
      </c>
      <c r="D162" s="144"/>
      <c r="E162" s="144"/>
      <c r="F162" s="144"/>
    </row>
    <row r="163" spans="1:6">
      <c r="A163" s="144"/>
      <c r="B163" s="144"/>
      <c r="C163" s="360" t="s">
        <v>335</v>
      </c>
      <c r="D163" s="144"/>
      <c r="E163" s="144"/>
      <c r="F163" s="144"/>
    </row>
    <row r="164" spans="1:6">
      <c r="A164" s="144"/>
      <c r="B164" s="144"/>
      <c r="C164" s="194" t="s">
        <v>336</v>
      </c>
      <c r="D164" s="144"/>
      <c r="E164" s="144"/>
      <c r="F164" s="144"/>
    </row>
    <row r="165" spans="1:6">
      <c r="A165" s="144"/>
      <c r="B165" s="144"/>
      <c r="C165" s="360" t="s">
        <v>337</v>
      </c>
      <c r="D165" s="144"/>
      <c r="E165" s="144"/>
      <c r="F165" s="144"/>
    </row>
    <row r="166" spans="1:6">
      <c r="A166" s="144"/>
      <c r="B166" s="144"/>
      <c r="C166" s="194" t="s">
        <v>338</v>
      </c>
      <c r="D166" s="144"/>
      <c r="E166" s="144"/>
      <c r="F166" s="144"/>
    </row>
    <row r="167" spans="1:6">
      <c r="A167" s="144"/>
      <c r="B167" s="144"/>
      <c r="C167" s="360" t="s">
        <v>339</v>
      </c>
      <c r="D167" s="144"/>
      <c r="E167" s="144"/>
      <c r="F167" s="144"/>
    </row>
    <row r="168" spans="1:6">
      <c r="A168" s="144"/>
      <c r="B168" s="144"/>
      <c r="C168" s="194" t="s">
        <v>340</v>
      </c>
      <c r="D168" s="144"/>
      <c r="E168" s="144"/>
      <c r="F168" s="144"/>
    </row>
    <row r="169" spans="1:6">
      <c r="A169" s="144"/>
      <c r="B169" s="144"/>
      <c r="C169" s="360" t="s">
        <v>341</v>
      </c>
      <c r="D169" s="144"/>
      <c r="E169" s="144"/>
      <c r="F169" s="144"/>
    </row>
    <row r="170" spans="1:6">
      <c r="A170" s="144"/>
      <c r="B170" s="144"/>
      <c r="C170" s="194" t="s">
        <v>342</v>
      </c>
      <c r="D170" s="144"/>
      <c r="E170" s="144"/>
      <c r="F170" s="144"/>
    </row>
    <row r="171" spans="1:6">
      <c r="A171" s="144"/>
      <c r="B171" s="144"/>
      <c r="C171" s="360" t="s">
        <v>343</v>
      </c>
      <c r="D171" s="144"/>
      <c r="E171" s="144"/>
      <c r="F171" s="144"/>
    </row>
    <row r="172" spans="1:6">
      <c r="A172" s="144"/>
      <c r="B172" s="144"/>
      <c r="C172" s="194" t="s">
        <v>344</v>
      </c>
      <c r="D172" s="144"/>
      <c r="E172" s="144"/>
      <c r="F172" s="144"/>
    </row>
    <row r="173" spans="1:6">
      <c r="A173" s="144"/>
      <c r="B173" s="144"/>
      <c r="C173" s="360" t="s">
        <v>345</v>
      </c>
      <c r="D173" s="144"/>
      <c r="E173" s="144"/>
      <c r="F173" s="144"/>
    </row>
    <row r="174" spans="1:6">
      <c r="A174" s="144"/>
      <c r="B174" s="144"/>
      <c r="C174" s="194" t="s">
        <v>346</v>
      </c>
      <c r="D174" s="144"/>
      <c r="E174" s="144"/>
      <c r="F174" s="144"/>
    </row>
    <row r="175" spans="1:6">
      <c r="A175" s="144"/>
      <c r="B175" s="144"/>
      <c r="C175" s="360" t="s">
        <v>347</v>
      </c>
      <c r="D175" s="144"/>
      <c r="E175" s="144"/>
      <c r="F175" s="144"/>
    </row>
    <row r="176" spans="1:6">
      <c r="A176" s="144"/>
      <c r="B176" s="144"/>
      <c r="C176" s="194" t="s">
        <v>348</v>
      </c>
      <c r="D176" s="144"/>
      <c r="E176" s="144"/>
      <c r="F176" s="144"/>
    </row>
    <row r="177" spans="1:6">
      <c r="A177" s="144"/>
      <c r="B177" s="144"/>
      <c r="C177" s="360" t="s">
        <v>349</v>
      </c>
      <c r="D177" s="144"/>
      <c r="E177" s="144"/>
      <c r="F177" s="144"/>
    </row>
    <row r="178" spans="1:6">
      <c r="A178" s="144"/>
      <c r="B178" s="144"/>
      <c r="C178" s="194" t="s">
        <v>350</v>
      </c>
      <c r="D178" s="144"/>
      <c r="E178" s="144"/>
      <c r="F178" s="144"/>
    </row>
    <row r="179" spans="1:6">
      <c r="A179" s="144"/>
      <c r="B179" s="144"/>
      <c r="C179" s="360" t="s">
        <v>351</v>
      </c>
      <c r="D179" s="144"/>
      <c r="E179" s="144"/>
      <c r="F179" s="144"/>
    </row>
    <row r="180" spans="1:6">
      <c r="A180" s="144"/>
      <c r="B180" s="144"/>
      <c r="C180" s="194" t="s">
        <v>352</v>
      </c>
      <c r="D180" s="144"/>
      <c r="E180" s="144"/>
      <c r="F180" s="144"/>
    </row>
    <row r="181" spans="1:6">
      <c r="A181" s="144"/>
      <c r="B181" s="144"/>
      <c r="C181" s="360" t="s">
        <v>353</v>
      </c>
      <c r="D181" s="144"/>
      <c r="E181" s="144"/>
      <c r="F181" s="144"/>
    </row>
    <row r="182" spans="1:6">
      <c r="A182" s="144"/>
      <c r="B182" s="144"/>
      <c r="C182" s="194" t="s">
        <v>354</v>
      </c>
      <c r="D182" s="144"/>
      <c r="E182" s="144"/>
      <c r="F182" s="144"/>
    </row>
    <row r="183" spans="1:6">
      <c r="A183" s="144"/>
      <c r="B183" s="144"/>
      <c r="C183" s="360" t="s">
        <v>355</v>
      </c>
      <c r="D183" s="144"/>
      <c r="E183" s="144"/>
      <c r="F183" s="144"/>
    </row>
    <row r="184" spans="1:6">
      <c r="A184" s="144"/>
      <c r="B184" s="144"/>
      <c r="C184" s="194" t="s">
        <v>356</v>
      </c>
      <c r="D184" s="144"/>
      <c r="E184" s="144"/>
      <c r="F184" s="144"/>
    </row>
    <row r="185" spans="1:6">
      <c r="A185" s="144"/>
      <c r="B185" s="144"/>
      <c r="C185" s="360" t="s">
        <v>357</v>
      </c>
      <c r="D185" s="144"/>
      <c r="E185" s="144"/>
      <c r="F185" s="144"/>
    </row>
    <row r="186" spans="1:6">
      <c r="A186" s="144"/>
      <c r="B186" s="144"/>
      <c r="C186" s="194" t="s">
        <v>358</v>
      </c>
      <c r="D186" s="144"/>
      <c r="E186" s="144"/>
      <c r="F186" s="144"/>
    </row>
    <row r="187" spans="1:6">
      <c r="A187" s="144"/>
      <c r="B187" s="144"/>
      <c r="C187" s="360" t="s">
        <v>359</v>
      </c>
      <c r="D187" s="144"/>
      <c r="E187" s="144"/>
      <c r="F187" s="144"/>
    </row>
    <row r="188" spans="1:6">
      <c r="A188" s="144"/>
      <c r="B188" s="144"/>
      <c r="C188" s="194" t="s">
        <v>360</v>
      </c>
      <c r="D188" s="144"/>
      <c r="E188" s="144"/>
      <c r="F188" s="144"/>
    </row>
    <row r="189" spans="1:6">
      <c r="A189" s="144"/>
      <c r="B189" s="144"/>
      <c r="C189" s="360" t="s">
        <v>361</v>
      </c>
      <c r="D189" s="144"/>
      <c r="E189" s="144"/>
      <c r="F189" s="144"/>
    </row>
    <row r="190" spans="1:6">
      <c r="A190" s="144"/>
      <c r="B190" s="144"/>
      <c r="C190" s="194" t="s">
        <v>362</v>
      </c>
      <c r="D190" s="144"/>
      <c r="E190" s="144"/>
      <c r="F190" s="144"/>
    </row>
    <row r="191" spans="1:6">
      <c r="A191" s="144"/>
      <c r="B191" s="144"/>
      <c r="C191" s="360" t="s">
        <v>363</v>
      </c>
      <c r="D191" s="144"/>
      <c r="E191" s="144"/>
      <c r="F191" s="144"/>
    </row>
    <row r="192" spans="1:6">
      <c r="A192" s="144"/>
      <c r="B192" s="144"/>
      <c r="C192" s="194" t="s">
        <v>364</v>
      </c>
      <c r="D192" s="144"/>
      <c r="E192" s="144"/>
      <c r="F192" s="144"/>
    </row>
    <row r="193" spans="1:6">
      <c r="A193" s="144"/>
      <c r="B193" s="144"/>
      <c r="C193" s="360" t="s">
        <v>365</v>
      </c>
      <c r="D193" s="144"/>
      <c r="E193" s="144"/>
      <c r="F193" s="144"/>
    </row>
    <row r="194" spans="1:6">
      <c r="A194" s="144"/>
      <c r="B194" s="144"/>
      <c r="C194" s="194" t="s">
        <v>366</v>
      </c>
      <c r="D194" s="144"/>
      <c r="E194" s="144"/>
      <c r="F194" s="144"/>
    </row>
    <row r="195" spans="1:6">
      <c r="A195" s="144"/>
      <c r="B195" s="144"/>
      <c r="C195" s="360" t="s">
        <v>367</v>
      </c>
      <c r="D195" s="144"/>
      <c r="E195" s="144"/>
      <c r="F195" s="144"/>
    </row>
    <row r="196" spans="1:6">
      <c r="A196" s="144"/>
      <c r="B196" s="144"/>
      <c r="C196" s="194" t="s">
        <v>368</v>
      </c>
      <c r="D196" s="144"/>
      <c r="E196" s="144"/>
      <c r="F196" s="144"/>
    </row>
    <row r="197" spans="1:6">
      <c r="A197" s="144"/>
      <c r="B197" s="144"/>
      <c r="C197" s="360" t="s">
        <v>369</v>
      </c>
      <c r="D197" s="144"/>
      <c r="E197" s="144"/>
      <c r="F197" s="144"/>
    </row>
    <row r="198" spans="1:6">
      <c r="A198" s="144"/>
      <c r="B198" s="144"/>
      <c r="C198" s="194" t="s">
        <v>370</v>
      </c>
      <c r="D198" s="144"/>
      <c r="E198" s="144"/>
      <c r="F198" s="144"/>
    </row>
    <row r="199" spans="1:6">
      <c r="A199" s="144"/>
      <c r="B199" s="144"/>
      <c r="C199" s="144"/>
      <c r="D199" s="144"/>
      <c r="E199" s="144"/>
      <c r="F199" s="144"/>
    </row>
    <row r="200" spans="1:6">
      <c r="A200" s="144"/>
      <c r="B200" s="144"/>
      <c r="C200" s="144"/>
      <c r="D200" s="144"/>
      <c r="E200" s="144"/>
      <c r="F200" s="144"/>
    </row>
  </sheetData>
  <mergeCells count="2">
    <mergeCell ref="B2:F2"/>
    <mergeCell ref="B4:E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C6978-7A43-438D-8742-C2B560EE4D7E}">
  <sheetPr codeName="Tabelle10">
    <tabColor theme="7"/>
  </sheetPr>
  <dimension ref="A1:P76"/>
  <sheetViews>
    <sheetView workbookViewId="0">
      <selection activeCell="B2" sqref="B2:E2"/>
    </sheetView>
  </sheetViews>
  <sheetFormatPr baseColWidth="10" defaultColWidth="0" defaultRowHeight="15" zeroHeight="1"/>
  <cols>
    <col min="1" max="1" width="11" customWidth="1"/>
    <col min="2" max="2" width="11" style="356" customWidth="1"/>
    <col min="3" max="3" width="27.6640625" style="356" customWidth="1"/>
    <col min="4" max="4" width="32" style="356" customWidth="1"/>
    <col min="5" max="5" width="28.5" style="356" customWidth="1"/>
    <col min="6" max="6" width="30.6640625" style="356" customWidth="1"/>
    <col min="7" max="7" width="11" customWidth="1"/>
    <col min="8" max="16384" width="10" hidden="1"/>
  </cols>
  <sheetData>
    <row r="1" spans="1:7">
      <c r="A1" s="144"/>
      <c r="B1" s="144"/>
      <c r="C1" s="144"/>
      <c r="D1" s="144"/>
      <c r="E1" s="144"/>
      <c r="F1" s="144"/>
      <c r="G1" s="144"/>
    </row>
    <row r="2" spans="1:7" ht="23">
      <c r="A2" s="144"/>
      <c r="B2" s="366"/>
      <c r="C2" s="362"/>
      <c r="D2" s="439" t="s">
        <v>371</v>
      </c>
      <c r="E2" s="439"/>
      <c r="F2" s="361"/>
      <c r="G2" s="144"/>
    </row>
    <row r="3" spans="1:7">
      <c r="A3" s="144"/>
      <c r="B3" s="144"/>
      <c r="C3" s="144"/>
      <c r="D3" s="144"/>
      <c r="E3" s="144"/>
      <c r="F3" s="144"/>
      <c r="G3" s="144"/>
    </row>
    <row r="4" spans="1:7" ht="18" thickBot="1">
      <c r="A4" s="144"/>
      <c r="B4" s="428" t="s">
        <v>372</v>
      </c>
      <c r="C4" s="428"/>
      <c r="D4" s="428"/>
      <c r="E4" s="428"/>
      <c r="F4" s="428"/>
      <c r="G4" s="144"/>
    </row>
    <row r="5" spans="1:7" ht="16" thickTop="1">
      <c r="A5" s="144"/>
      <c r="B5" s="144"/>
      <c r="C5" s="144"/>
      <c r="D5" s="144"/>
      <c r="E5" s="144"/>
      <c r="F5" s="144"/>
      <c r="G5" s="144"/>
    </row>
    <row r="6" spans="1:7">
      <c r="A6" s="144"/>
      <c r="B6" s="413" t="s">
        <v>373</v>
      </c>
      <c r="C6" s="413"/>
      <c r="D6" s="413"/>
      <c r="E6" s="413"/>
      <c r="F6" s="413"/>
      <c r="G6" s="144"/>
    </row>
    <row r="7" spans="1:7">
      <c r="A7" s="144"/>
      <c r="B7" s="413"/>
      <c r="C7" s="413"/>
      <c r="D7" s="413"/>
      <c r="E7" s="413"/>
      <c r="F7" s="413"/>
      <c r="G7" s="144"/>
    </row>
    <row r="8" spans="1:7">
      <c r="A8" s="144"/>
      <c r="B8" s="422" t="s">
        <v>374</v>
      </c>
      <c r="C8" s="422"/>
      <c r="D8" s="422"/>
      <c r="E8" s="422"/>
      <c r="F8" s="422"/>
      <c r="G8" s="144"/>
    </row>
    <row r="9" spans="1:7">
      <c r="A9" s="144"/>
      <c r="B9" s="422" t="s">
        <v>375</v>
      </c>
      <c r="C9" s="422"/>
      <c r="D9" s="422"/>
      <c r="E9" s="422"/>
      <c r="F9" s="422"/>
      <c r="G9" s="144"/>
    </row>
    <row r="10" spans="1:7" s="214" customFormat="1">
      <c r="A10" s="208"/>
      <c r="B10" s="144"/>
      <c r="C10" s="144"/>
      <c r="D10" s="144"/>
      <c r="E10" s="144"/>
      <c r="F10" s="144"/>
      <c r="G10" s="208"/>
    </row>
    <row r="11" spans="1:7">
      <c r="A11" s="144"/>
      <c r="B11" s="215" t="s">
        <v>35</v>
      </c>
      <c r="C11" s="210" t="s">
        <v>36</v>
      </c>
      <c r="D11" s="213" t="s">
        <v>376</v>
      </c>
      <c r="E11" s="213" t="s">
        <v>377</v>
      </c>
      <c r="F11" s="213" t="s">
        <v>68</v>
      </c>
      <c r="G11" s="144"/>
    </row>
    <row r="12" spans="1:7">
      <c r="A12" s="144"/>
      <c r="B12" s="299" t="str">
        <f>IF(ISBLANK(C12),"",_xlfn.XLOOKUP($C12,'General Information'!$C$18:$C$44,'General Information'!$B$18:$B$44,""))</f>
        <v/>
      </c>
      <c r="C12" s="379"/>
      <c r="D12" s="380"/>
      <c r="E12" s="380"/>
      <c r="F12" s="381"/>
      <c r="G12" s="144"/>
    </row>
    <row r="13" spans="1:7">
      <c r="A13" s="144"/>
      <c r="B13" s="300" t="str">
        <f>IF(ISBLANK(C13),"",_xlfn.XLOOKUP($C13,'General Information'!$C$18:$C$44,'General Information'!$B$18:$B$44,""))</f>
        <v/>
      </c>
      <c r="C13" s="382"/>
      <c r="D13" s="383"/>
      <c r="E13" s="383"/>
      <c r="F13" s="384"/>
      <c r="G13" s="144"/>
    </row>
    <row r="14" spans="1:7">
      <c r="A14" s="144"/>
      <c r="B14" s="299" t="str">
        <f>IF(ISBLANK(C14),"",_xlfn.XLOOKUP($C14,'General Information'!$C$18:$C$44,'General Information'!$B$18:$B$44,""))</f>
        <v/>
      </c>
      <c r="C14" s="379"/>
      <c r="D14" s="380"/>
      <c r="E14" s="380"/>
      <c r="F14" s="381"/>
      <c r="G14" s="144"/>
    </row>
    <row r="15" spans="1:7">
      <c r="A15" s="144"/>
      <c r="B15" s="300" t="str">
        <f>IF(ISBLANK(C15),"",_xlfn.XLOOKUP($C15,'General Information'!$C$18:$C$44,'General Information'!$B$18:$B$44,""))</f>
        <v/>
      </c>
      <c r="C15" s="382"/>
      <c r="D15" s="383"/>
      <c r="E15" s="383"/>
      <c r="F15" s="384"/>
      <c r="G15" s="144"/>
    </row>
    <row r="16" spans="1:7">
      <c r="A16" s="144"/>
      <c r="B16" s="299" t="str">
        <f>IF(ISBLANK(C16),"",_xlfn.XLOOKUP($C16,'General Information'!$C$18:$C$44,'General Information'!$B$18:$B$44,""))</f>
        <v/>
      </c>
      <c r="C16" s="379"/>
      <c r="D16" s="380"/>
      <c r="E16" s="380"/>
      <c r="F16" s="381"/>
      <c r="G16" s="144"/>
    </row>
    <row r="17" spans="1:7">
      <c r="A17" s="144"/>
      <c r="B17" s="300" t="str">
        <f>IF(ISBLANK(C17),"",_xlfn.XLOOKUP($C17,'General Information'!$C$18:$C$44,'General Information'!$B$18:$B$44,""))</f>
        <v/>
      </c>
      <c r="C17" s="382"/>
      <c r="D17" s="383"/>
      <c r="E17" s="383"/>
      <c r="F17" s="384"/>
      <c r="G17" s="144"/>
    </row>
    <row r="18" spans="1:7">
      <c r="A18" s="144"/>
      <c r="B18" s="299" t="str">
        <f>IF(ISBLANK(C18),"",_xlfn.XLOOKUP($C18,'General Information'!$C$18:$C$44,'General Information'!$B$18:$B$44,""))</f>
        <v/>
      </c>
      <c r="C18" s="379"/>
      <c r="D18" s="380"/>
      <c r="E18" s="380"/>
      <c r="F18" s="381"/>
      <c r="G18" s="144"/>
    </row>
    <row r="19" spans="1:7">
      <c r="A19" s="144"/>
      <c r="B19" s="300" t="str">
        <f>IF(ISBLANK(C19),"",_xlfn.XLOOKUP($C19,'General Information'!$C$18:$C$44,'General Information'!$B$18:$B$44,""))</f>
        <v/>
      </c>
      <c r="C19" s="382"/>
      <c r="D19" s="383"/>
      <c r="E19" s="383"/>
      <c r="F19" s="384"/>
      <c r="G19" s="144"/>
    </row>
    <row r="20" spans="1:7">
      <c r="A20" s="144"/>
      <c r="B20" s="299" t="str">
        <f>IF(ISBLANK(C20),"",_xlfn.XLOOKUP($C20,'General Information'!$C$18:$C$44,'General Information'!$B$18:$B$44,""))</f>
        <v/>
      </c>
      <c r="C20" s="379"/>
      <c r="D20" s="380"/>
      <c r="E20" s="380"/>
      <c r="F20" s="381"/>
      <c r="G20" s="144"/>
    </row>
    <row r="21" spans="1:7">
      <c r="A21" s="144"/>
      <c r="B21" s="300" t="str">
        <f>IF(ISBLANK(C21),"",_xlfn.XLOOKUP($C21,'General Information'!$C$18:$C$44,'General Information'!$B$18:$B$44,""))</f>
        <v/>
      </c>
      <c r="C21" s="382"/>
      <c r="D21" s="383"/>
      <c r="E21" s="383"/>
      <c r="F21" s="384"/>
      <c r="G21" s="144"/>
    </row>
    <row r="22" spans="1:7">
      <c r="A22" s="144"/>
      <c r="B22" s="299" t="str">
        <f>IF(ISBLANK(C22),"",_xlfn.XLOOKUP($C22,'General Information'!$C$18:$C$44,'General Information'!$B$18:$B$44,""))</f>
        <v/>
      </c>
      <c r="C22" s="379"/>
      <c r="D22" s="380"/>
      <c r="E22" s="380"/>
      <c r="F22" s="381"/>
      <c r="G22" s="144"/>
    </row>
    <row r="23" spans="1:7">
      <c r="A23" s="144"/>
      <c r="B23" s="300" t="str">
        <f>IF(ISBLANK(C23),"",_xlfn.XLOOKUP($C23,'General Information'!$C$18:$C$44,'General Information'!$B$18:$B$44,""))</f>
        <v/>
      </c>
      <c r="C23" s="382"/>
      <c r="D23" s="383"/>
      <c r="E23" s="383"/>
      <c r="F23" s="384"/>
      <c r="G23" s="144"/>
    </row>
    <row r="24" spans="1:7">
      <c r="A24" s="144"/>
      <c r="B24" s="299" t="str">
        <f>IF(ISBLANK(C24),"",_xlfn.XLOOKUP($C24,'General Information'!$C$18:$C$44,'General Information'!$B$18:$B$44,""))</f>
        <v/>
      </c>
      <c r="C24" s="379"/>
      <c r="D24" s="380"/>
      <c r="E24" s="380"/>
      <c r="F24" s="381"/>
      <c r="G24" s="144"/>
    </row>
    <row r="25" spans="1:7">
      <c r="A25" s="144"/>
      <c r="B25" s="300" t="str">
        <f>IF(ISBLANK(C25),"",_xlfn.XLOOKUP($C25,'General Information'!$C$18:$C$44,'General Information'!$B$18:$B$44,""))</f>
        <v/>
      </c>
      <c r="C25" s="382"/>
      <c r="D25" s="383"/>
      <c r="E25" s="383"/>
      <c r="F25" s="384"/>
      <c r="G25" s="144"/>
    </row>
    <row r="26" spans="1:7">
      <c r="A26" s="144"/>
      <c r="B26" s="299" t="str">
        <f>IF(ISBLANK(C26),"",_xlfn.XLOOKUP($C26,'General Information'!$C$18:$C$44,'General Information'!$B$18:$B$44,""))</f>
        <v/>
      </c>
      <c r="C26" s="379"/>
      <c r="D26" s="380"/>
      <c r="E26" s="380"/>
      <c r="F26" s="381"/>
      <c r="G26" s="144"/>
    </row>
    <row r="27" spans="1:7">
      <c r="A27" s="144"/>
      <c r="B27" s="300" t="str">
        <f>IF(ISBLANK(C27),"",_xlfn.XLOOKUP($C27,'General Information'!$C$18:$C$44,'General Information'!$B$18:$B$44,""))</f>
        <v/>
      </c>
      <c r="C27" s="382"/>
      <c r="D27" s="383"/>
      <c r="E27" s="383"/>
      <c r="F27" s="384"/>
      <c r="G27" s="144"/>
    </row>
    <row r="28" spans="1:7">
      <c r="A28" s="144"/>
      <c r="B28" s="299" t="str">
        <f>IF(ISBLANK(C28),"",_xlfn.XLOOKUP($C28,'General Information'!$C$18:$C$44,'General Information'!$B$18:$B$44,""))</f>
        <v/>
      </c>
      <c r="C28" s="379"/>
      <c r="D28" s="380"/>
      <c r="E28" s="380"/>
      <c r="F28" s="381"/>
      <c r="G28" s="144"/>
    </row>
    <row r="29" spans="1:7">
      <c r="A29" s="144"/>
      <c r="B29" s="300" t="str">
        <f>IF(ISBLANK(C29),"",_xlfn.XLOOKUP($C29,'General Information'!$C$18:$C$44,'General Information'!$B$18:$B$44,""))</f>
        <v/>
      </c>
      <c r="C29" s="382"/>
      <c r="D29" s="383"/>
      <c r="E29" s="383"/>
      <c r="F29" s="384"/>
      <c r="G29" s="144"/>
    </row>
    <row r="30" spans="1:7">
      <c r="A30" s="144"/>
      <c r="B30" s="299" t="str">
        <f>IF(ISBLANK(C30),"",_xlfn.XLOOKUP($C30,'General Information'!$C$18:$C$44,'General Information'!$B$18:$B$44,""))</f>
        <v/>
      </c>
      <c r="C30" s="379"/>
      <c r="D30" s="380"/>
      <c r="E30" s="380"/>
      <c r="F30" s="381"/>
      <c r="G30" s="144"/>
    </row>
    <row r="31" spans="1:7">
      <c r="A31" s="144"/>
      <c r="B31" s="300" t="str">
        <f>IF(ISBLANK(C31),"",_xlfn.XLOOKUP($C31,'General Information'!$C$18:$C$44,'General Information'!$B$18:$B$44,""))</f>
        <v/>
      </c>
      <c r="C31" s="382"/>
      <c r="D31" s="383"/>
      <c r="E31" s="383"/>
      <c r="F31" s="384"/>
      <c r="G31" s="144"/>
    </row>
    <row r="32" spans="1:7">
      <c r="A32" s="144"/>
      <c r="B32" s="299" t="str">
        <f>IF(ISBLANK(C32),"",_xlfn.XLOOKUP($C32,'General Information'!$C$18:$C$44,'General Information'!$B$18:$B$44,""))</f>
        <v/>
      </c>
      <c r="C32" s="379"/>
      <c r="D32" s="380"/>
      <c r="E32" s="380"/>
      <c r="F32" s="381"/>
      <c r="G32" s="144"/>
    </row>
    <row r="33" spans="1:16">
      <c r="A33" s="144"/>
      <c r="B33" s="300" t="str">
        <f>IF(ISBLANK(C33),"",_xlfn.XLOOKUP($C33,'General Information'!$C$18:$C$44,'General Information'!$B$18:$B$44,""))</f>
        <v/>
      </c>
      <c r="C33" s="382"/>
      <c r="D33" s="383"/>
      <c r="E33" s="383"/>
      <c r="F33" s="384"/>
      <c r="G33" s="144"/>
    </row>
    <row r="34" spans="1:16">
      <c r="A34" s="144"/>
      <c r="B34" s="299" t="str">
        <f>IF(ISBLANK(C34),"",_xlfn.XLOOKUP($C34,'General Information'!$C$18:$C$44,'General Information'!$B$18:$B$44,""))</f>
        <v/>
      </c>
      <c r="C34" s="379"/>
      <c r="D34" s="380"/>
      <c r="E34" s="380"/>
      <c r="F34" s="381"/>
      <c r="G34" s="144"/>
    </row>
    <row r="35" spans="1:16">
      <c r="A35" s="144"/>
      <c r="B35" s="300" t="str">
        <f>IF(ISBLANK(C35),"",_xlfn.XLOOKUP($C35,'General Information'!$C$18:$C$44,'General Information'!$B$18:$B$44,""))</f>
        <v/>
      </c>
      <c r="C35" s="382"/>
      <c r="D35" s="383"/>
      <c r="E35" s="383"/>
      <c r="F35" s="384"/>
      <c r="G35" s="144"/>
    </row>
    <row r="36" spans="1:16">
      <c r="A36" s="144"/>
      <c r="B36" s="299" t="str">
        <f>IF(ISBLANK(C36),"",_xlfn.XLOOKUP($C36,'General Information'!$C$18:$C$44,'General Information'!$B$18:$B$44,""))</f>
        <v/>
      </c>
      <c r="C36" s="379"/>
      <c r="D36" s="380"/>
      <c r="E36" s="380"/>
      <c r="F36" s="381"/>
      <c r="G36" s="144"/>
    </row>
    <row r="37" spans="1:16">
      <c r="A37" s="144"/>
      <c r="B37" s="300" t="str">
        <f>IF(ISBLANK(C37),"",_xlfn.XLOOKUP($C37,'General Information'!$C$18:$C$44,'General Information'!$B$18:$B$44,""))</f>
        <v/>
      </c>
      <c r="C37" s="382"/>
      <c r="D37" s="383"/>
      <c r="E37" s="383"/>
      <c r="F37" s="384"/>
      <c r="G37" s="144"/>
    </row>
    <row r="38" spans="1:16">
      <c r="A38" s="144"/>
      <c r="B38" s="299" t="str">
        <f>IF(ISBLANK(C38),"",_xlfn.XLOOKUP($C38,'General Information'!$C$18:$C$44,'General Information'!$B$18:$B$44,""))</f>
        <v/>
      </c>
      <c r="C38" s="398"/>
      <c r="D38" s="399"/>
      <c r="E38" s="399"/>
      <c r="F38" s="400"/>
      <c r="G38" s="144"/>
    </row>
    <row r="39" spans="1:16" s="144" customFormat="1">
      <c r="B39" s="363"/>
      <c r="C39" s="363"/>
      <c r="D39" s="363"/>
      <c r="E39" s="363"/>
      <c r="F39" s="363"/>
    </row>
    <row r="40" spans="1:16" ht="15" customHeight="1">
      <c r="A40" s="144"/>
      <c r="B40" s="365" t="s">
        <v>378</v>
      </c>
      <c r="C40" s="144"/>
      <c r="D40" s="144"/>
      <c r="E40" s="144"/>
      <c r="F40" s="144"/>
      <c r="G40" s="144"/>
      <c r="H40" s="355"/>
      <c r="I40" s="355"/>
      <c r="J40" s="355"/>
      <c r="K40" s="355"/>
    </row>
    <row r="41" spans="1:16">
      <c r="A41" s="144"/>
      <c r="B41" s="215" t="s">
        <v>35</v>
      </c>
      <c r="C41" s="210" t="s">
        <v>36</v>
      </c>
      <c r="D41" s="213" t="s">
        <v>376</v>
      </c>
      <c r="E41" s="213" t="s">
        <v>377</v>
      </c>
      <c r="F41" s="213" t="s">
        <v>68</v>
      </c>
      <c r="G41" s="144"/>
      <c r="H41" s="355"/>
      <c r="I41" s="355"/>
      <c r="J41" s="355"/>
      <c r="K41" s="355"/>
    </row>
    <row r="42" spans="1:16">
      <c r="A42" s="144"/>
      <c r="B42" s="364" t="str">
        <f>IF(ISBLANK(C42),"",_xlfn.XLOOKUP($C42,'General Information'!$C$18:$C$44,'General Information'!$B$18:$B$44,""))</f>
        <v/>
      </c>
      <c r="C42" s="401" t="s">
        <v>51</v>
      </c>
      <c r="D42" s="402"/>
      <c r="E42" s="402"/>
      <c r="F42" s="403"/>
      <c r="G42" s="144"/>
      <c r="H42" s="355"/>
      <c r="I42" s="355"/>
      <c r="J42" s="355"/>
      <c r="K42" s="355"/>
    </row>
    <row r="43" spans="1:16" ht="15" customHeight="1">
      <c r="A43" s="144"/>
      <c r="B43" s="300" t="str">
        <f>IF(ISBLANK(C43),"",_xlfn.XLOOKUP($C43,'General Information'!$C$18:$C$44,'General Information'!$B$18:$B$44,""))</f>
        <v/>
      </c>
      <c r="C43" s="382"/>
      <c r="D43" s="383"/>
      <c r="E43" s="383"/>
      <c r="F43" s="384"/>
      <c r="G43" s="144"/>
      <c r="H43" s="355"/>
      <c r="I43" s="355"/>
      <c r="J43" s="355"/>
      <c r="K43" s="355"/>
    </row>
    <row r="44" spans="1:16">
      <c r="A44" s="144"/>
      <c r="B44" s="299" t="str">
        <f>IF(ISBLANK(C44),"",_xlfn.XLOOKUP($C44,'General Information'!$C$18:$C$44,'General Information'!$B$18:$B$44,""))</f>
        <v/>
      </c>
      <c r="C44" s="379"/>
      <c r="D44" s="380"/>
      <c r="E44" s="380"/>
      <c r="F44" s="381"/>
      <c r="G44" s="144"/>
      <c r="H44" s="355"/>
      <c r="I44" s="355"/>
      <c r="J44" s="355"/>
      <c r="K44" s="355"/>
    </row>
    <row r="45" spans="1:16">
      <c r="A45" s="144"/>
      <c r="B45" s="300" t="str">
        <f>IF(ISBLANK(C45),"",_xlfn.XLOOKUP($C45,'General Information'!$C$18:$C$44,'General Information'!$B$18:$B$44,""))</f>
        <v/>
      </c>
      <c r="C45" s="382"/>
      <c r="D45" s="383"/>
      <c r="E45" s="383"/>
      <c r="F45" s="384"/>
      <c r="G45" s="144"/>
      <c r="H45" s="355"/>
      <c r="I45" s="355"/>
      <c r="J45" s="355"/>
      <c r="K45" s="355"/>
    </row>
    <row r="46" spans="1:16" ht="15" customHeight="1">
      <c r="A46" s="144"/>
      <c r="B46" s="299" t="str">
        <f>IF(ISBLANK(C46),"",_xlfn.XLOOKUP($C46,'General Information'!$C$18:$C$44,'General Information'!$B$18:$B$44,""))</f>
        <v/>
      </c>
      <c r="C46" s="379"/>
      <c r="D46" s="380"/>
      <c r="E46" s="380"/>
      <c r="F46" s="381"/>
      <c r="G46" s="144"/>
      <c r="H46" s="355"/>
      <c r="I46" s="355"/>
      <c r="J46" s="355"/>
      <c r="K46" s="355"/>
    </row>
    <row r="47" spans="1:16" ht="15" customHeight="1">
      <c r="A47" s="144"/>
      <c r="B47" s="144"/>
      <c r="C47" s="144"/>
      <c r="D47" s="144"/>
      <c r="E47" s="144"/>
      <c r="F47" s="144"/>
      <c r="G47" s="144"/>
      <c r="H47" s="355"/>
      <c r="I47" s="355"/>
      <c r="J47" s="355"/>
      <c r="K47" s="355"/>
    </row>
    <row r="48" spans="1:16" ht="15" customHeight="1">
      <c r="A48" s="355"/>
      <c r="B48" s="443" t="s">
        <v>379</v>
      </c>
      <c r="C48" s="443"/>
      <c r="D48" s="443"/>
      <c r="E48" s="443"/>
      <c r="F48" s="443"/>
      <c r="G48" s="355"/>
      <c r="H48" s="355"/>
      <c r="I48" s="355"/>
      <c r="J48" s="355"/>
      <c r="K48" s="355"/>
      <c r="L48" s="355"/>
      <c r="M48" s="355"/>
      <c r="N48" s="355"/>
      <c r="O48" s="355"/>
      <c r="P48" s="355"/>
    </row>
    <row r="49" spans="1:16">
      <c r="A49" s="355"/>
      <c r="B49" s="443"/>
      <c r="C49" s="443"/>
      <c r="D49" s="443"/>
      <c r="E49" s="443"/>
      <c r="F49" s="443"/>
      <c r="G49" s="355"/>
      <c r="H49" s="355"/>
      <c r="I49" s="355"/>
      <c r="J49" s="355"/>
      <c r="K49" s="355"/>
      <c r="L49" s="355"/>
      <c r="M49" s="355"/>
      <c r="N49" s="355"/>
      <c r="O49" s="355"/>
      <c r="P49" s="355"/>
    </row>
    <row r="50" spans="1:16" ht="15" customHeight="1">
      <c r="A50" s="355"/>
      <c r="B50" s="443"/>
      <c r="C50" s="443"/>
      <c r="D50" s="443"/>
      <c r="E50" s="443"/>
      <c r="F50" s="443"/>
      <c r="G50" s="355"/>
      <c r="H50" s="355"/>
      <c r="I50" s="355"/>
      <c r="J50" s="355"/>
      <c r="K50" s="355"/>
      <c r="L50" s="355"/>
      <c r="M50" s="355"/>
      <c r="N50" s="355"/>
      <c r="O50" s="355"/>
      <c r="P50" s="355"/>
    </row>
    <row r="51" spans="1:16" ht="14.25" customHeight="1">
      <c r="A51" s="355"/>
      <c r="B51" s="443" t="s">
        <v>380</v>
      </c>
      <c r="C51" s="443"/>
      <c r="D51" s="443"/>
      <c r="E51" s="443"/>
      <c r="F51" s="443"/>
      <c r="G51" s="355"/>
      <c r="H51" s="355"/>
      <c r="I51" s="355"/>
      <c r="J51" s="355"/>
      <c r="K51" s="355"/>
      <c r="L51" s="355"/>
      <c r="M51" s="355"/>
      <c r="N51" s="355"/>
      <c r="O51" s="355"/>
      <c r="P51" s="355"/>
    </row>
    <row r="52" spans="1:16" ht="18.75" customHeight="1">
      <c r="A52" s="355"/>
      <c r="B52" s="443"/>
      <c r="C52" s="443"/>
      <c r="D52" s="443"/>
      <c r="E52" s="443"/>
      <c r="F52" s="443"/>
      <c r="G52" s="355"/>
      <c r="H52" s="355"/>
      <c r="I52" s="355"/>
      <c r="J52" s="355"/>
      <c r="K52" s="355"/>
      <c r="L52" s="355"/>
      <c r="M52" s="355"/>
      <c r="N52" s="355"/>
      <c r="O52" s="355"/>
      <c r="P52" s="355"/>
    </row>
    <row r="53" spans="1:16" ht="14.5" customHeight="1">
      <c r="A53" s="355"/>
      <c r="B53" s="443"/>
      <c r="C53" s="443"/>
      <c r="D53" s="443"/>
      <c r="E53" s="443"/>
      <c r="F53" s="443"/>
      <c r="G53" s="355"/>
      <c r="H53" s="355"/>
      <c r="I53" s="355"/>
      <c r="J53" s="355"/>
      <c r="K53" s="355"/>
      <c r="L53" s="355"/>
      <c r="M53" s="355"/>
      <c r="N53" s="355"/>
      <c r="O53" s="355"/>
      <c r="P53" s="355"/>
    </row>
    <row r="54" spans="1:16" ht="14.5" customHeight="1">
      <c r="A54" s="355"/>
      <c r="B54" s="441" t="s">
        <v>381</v>
      </c>
      <c r="C54" s="441"/>
      <c r="D54" s="441"/>
      <c r="E54" s="441"/>
      <c r="F54" s="441"/>
      <c r="G54" s="355"/>
      <c r="H54" s="355"/>
      <c r="I54" s="355"/>
      <c r="J54" s="355"/>
      <c r="K54" s="355"/>
      <c r="L54" s="355"/>
      <c r="M54" s="355"/>
      <c r="N54" s="355"/>
      <c r="O54" s="355"/>
      <c r="P54" s="355"/>
    </row>
    <row r="55" spans="1:16" ht="14.5" customHeight="1">
      <c r="A55" s="355"/>
      <c r="B55" s="441"/>
      <c r="C55" s="441"/>
      <c r="D55" s="441"/>
      <c r="E55" s="441"/>
      <c r="F55" s="441"/>
      <c r="G55" s="355"/>
      <c r="H55" s="355"/>
      <c r="I55" s="355"/>
      <c r="J55" s="355"/>
      <c r="K55" s="355"/>
      <c r="L55" s="355"/>
      <c r="M55" s="355"/>
      <c r="N55" s="355"/>
      <c r="O55" s="355"/>
      <c r="P55" s="355"/>
    </row>
    <row r="56" spans="1:16" ht="18" customHeight="1">
      <c r="A56" s="355"/>
      <c r="B56" s="441"/>
      <c r="C56" s="441"/>
      <c r="D56" s="441"/>
      <c r="E56" s="441"/>
      <c r="F56" s="441"/>
      <c r="G56" s="355"/>
      <c r="H56" s="355"/>
      <c r="I56" s="355"/>
      <c r="J56" s="355"/>
      <c r="K56" s="355"/>
      <c r="L56" s="355"/>
      <c r="M56" s="355"/>
      <c r="N56" s="355"/>
      <c r="O56" s="355"/>
      <c r="P56" s="355"/>
    </row>
    <row r="57" spans="1:16" ht="21.75" customHeight="1">
      <c r="A57" s="355"/>
      <c r="B57" s="441"/>
      <c r="C57" s="441"/>
      <c r="D57" s="441"/>
      <c r="E57" s="441"/>
      <c r="F57" s="441"/>
      <c r="G57" s="355"/>
      <c r="H57" s="358"/>
      <c r="I57" s="358"/>
      <c r="J57" s="358"/>
      <c r="K57" s="358"/>
    </row>
    <row r="58" spans="1:16" ht="14.5" customHeight="1">
      <c r="A58" s="355"/>
      <c r="B58" s="441"/>
      <c r="C58" s="441"/>
      <c r="D58" s="441"/>
      <c r="E58" s="441"/>
      <c r="F58" s="441"/>
      <c r="G58" s="355"/>
      <c r="H58" s="358"/>
      <c r="I58" s="358"/>
      <c r="J58" s="358"/>
      <c r="K58" s="358"/>
    </row>
    <row r="59" spans="1:16" s="144" customFormat="1" ht="14.5" customHeight="1">
      <c r="A59" s="355"/>
      <c r="B59" s="442" t="s">
        <v>382</v>
      </c>
      <c r="C59" s="442"/>
      <c r="D59" s="442"/>
      <c r="E59" s="355"/>
      <c r="F59" s="355"/>
      <c r="G59" s="355"/>
      <c r="H59" s="367"/>
      <c r="I59" s="367"/>
      <c r="J59" s="367"/>
      <c r="K59" s="367"/>
    </row>
    <row r="60" spans="1:16" ht="14.5" hidden="1" customHeight="1">
      <c r="A60" s="144"/>
      <c r="B60" s="366"/>
      <c r="C60" s="366"/>
      <c r="D60" s="366"/>
      <c r="E60" s="366"/>
      <c r="F60" s="366"/>
      <c r="G60" s="355"/>
      <c r="H60" s="358"/>
      <c r="I60" s="358"/>
      <c r="J60" s="358"/>
      <c r="K60" s="358"/>
    </row>
    <row r="61" spans="1:16" ht="14.5" hidden="1" customHeight="1">
      <c r="A61" s="144"/>
      <c r="G61" s="355"/>
      <c r="H61" s="358"/>
      <c r="I61" s="358"/>
      <c r="J61" s="358"/>
      <c r="K61" s="358"/>
    </row>
    <row r="62" spans="1:16" ht="14.5" hidden="1" customHeight="1">
      <c r="A62" s="144"/>
      <c r="G62" s="355"/>
      <c r="H62" s="358"/>
      <c r="I62" s="358"/>
      <c r="J62" s="358"/>
      <c r="K62" s="358"/>
    </row>
    <row r="63" spans="1:16" ht="14.5" hidden="1" customHeight="1">
      <c r="A63" s="144"/>
      <c r="G63" s="355"/>
      <c r="H63" s="358"/>
      <c r="I63" s="358"/>
      <c r="J63" s="358"/>
      <c r="K63" s="358"/>
    </row>
    <row r="64" spans="1:16" ht="14.5" hidden="1" customHeight="1">
      <c r="A64" s="144"/>
      <c r="G64" s="355"/>
      <c r="H64" s="358"/>
      <c r="I64" s="358"/>
      <c r="J64" s="358"/>
      <c r="K64" s="358"/>
    </row>
    <row r="65" spans="1:11" ht="15" hidden="1" customHeight="1">
      <c r="A65" s="144"/>
      <c r="G65" s="358"/>
      <c r="H65" s="358"/>
      <c r="I65" s="358"/>
      <c r="J65" s="358"/>
      <c r="K65" s="358"/>
    </row>
    <row r="66" spans="1:11" ht="15" hidden="1" customHeight="1">
      <c r="A66" s="144"/>
      <c r="G66" s="358"/>
      <c r="H66" s="355"/>
      <c r="I66" s="355"/>
      <c r="J66" s="355"/>
      <c r="K66" s="355"/>
    </row>
    <row r="67" spans="1:11" ht="15" hidden="1" customHeight="1">
      <c r="A67" s="144"/>
      <c r="G67" s="358"/>
      <c r="H67" s="355"/>
      <c r="I67" s="355"/>
      <c r="J67" s="355"/>
      <c r="K67" s="355"/>
    </row>
    <row r="68" spans="1:11" ht="15" hidden="1" customHeight="1">
      <c r="G68" s="358"/>
      <c r="H68" s="355"/>
      <c r="I68" s="355"/>
      <c r="J68" s="355"/>
      <c r="K68" s="355"/>
    </row>
    <row r="69" spans="1:11" ht="15" hidden="1" customHeight="1">
      <c r="G69" s="358"/>
    </row>
    <row r="70" spans="1:11" ht="15" hidden="1" customHeight="1">
      <c r="G70" s="358"/>
    </row>
    <row r="71" spans="1:11" ht="15" hidden="1" customHeight="1">
      <c r="G71" s="358"/>
    </row>
    <row r="72" spans="1:11" ht="15" hidden="1" customHeight="1">
      <c r="G72" s="358"/>
    </row>
    <row r="73" spans="1:11" ht="15" hidden="1" customHeight="1">
      <c r="G73" s="358"/>
    </row>
    <row r="74" spans="1:11" ht="15" hidden="1" customHeight="1">
      <c r="G74" s="355"/>
    </row>
    <row r="75" spans="1:11" ht="15" hidden="1" customHeight="1">
      <c r="G75" s="355"/>
    </row>
    <row r="76" spans="1:11" hidden="1">
      <c r="G76" s="355"/>
    </row>
  </sheetData>
  <mergeCells count="9">
    <mergeCell ref="D2:E2"/>
    <mergeCell ref="B54:F58"/>
    <mergeCell ref="B59:D59"/>
    <mergeCell ref="B8:F8"/>
    <mergeCell ref="B9:F9"/>
    <mergeCell ref="B4:F4"/>
    <mergeCell ref="B6:F7"/>
    <mergeCell ref="B48:F50"/>
    <mergeCell ref="B51:F53"/>
  </mergeCells>
  <dataValidations count="2">
    <dataValidation type="list" allowBlank="1" showInputMessage="1" showErrorMessage="1" sqref="C36:C38 C12:C22 C24:C34 C44:C46" xr:uid="{17158511-DACB-493F-BAA1-D7B679C93B8C}">
      <formula1>Plants</formula1>
    </dataValidation>
    <dataValidation type="list" allowBlank="1" showDropDown="1" showInputMessage="1" showErrorMessage="1" sqref="C35 C23 C42 C43" xr:uid="{BFAD1C05-1252-4E08-8408-8C20EACE9A9A}">
      <formula1>Plants</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4" r:id="rId4" name="Button 4">
              <controlPr defaultSize="0" print="0" autoFill="0" autoPict="0" macro="[0]!Modul3.SkipWD">
                <anchor moveWithCells="1" sizeWithCells="1">
                  <from>
                    <xdr:col>5</xdr:col>
                    <xdr:colOff>0</xdr:colOff>
                    <xdr:row>1</xdr:row>
                    <xdr:rowOff>0</xdr:rowOff>
                  </from>
                  <to>
                    <xdr:col>6</xdr:col>
                    <xdr:colOff>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C681F9CD-5389-4FF2-9584-8E7F4D3A716B}">
          <x14:formula1>
            <xm:f>'Drop Down'!$P$2:$P$61</xm:f>
          </x14:formula1>
          <xm:sqref>D12 D16:D18 D21:D22 D24:D37</xm:sqref>
        </x14:dataValidation>
        <x14:dataValidation type="list" allowBlank="1" showInputMessage="1" showErrorMessage="1" xr:uid="{CFA0D3D3-2745-432C-ADB2-B66C52682B5A}">
          <x14:formula1>
            <xm:f>'Drop Down'!$Q$2:$Q$5</xm:f>
          </x14:formula1>
          <xm:sqref>E12 E20:E38 E16:E18</xm:sqref>
        </x14:dataValidation>
        <x14:dataValidation type="list" allowBlank="1" showDropDown="1" showInputMessage="1" showErrorMessage="1" xr:uid="{DC27C801-9B08-448E-9DFD-AE48EED087CA}">
          <x14:formula1>
            <xm:f>'Drop Down'!$P$2:$P$61</xm:f>
          </x14:formula1>
          <xm:sqref>D38 D19:D20 D13:D15 D23</xm:sqref>
        </x14:dataValidation>
        <x14:dataValidation type="list" allowBlank="1" showDropDown="1" showInputMessage="1" showErrorMessage="1" xr:uid="{56E1B026-98FA-48D9-8976-FAC9FA323433}">
          <x14:formula1>
            <xm:f>'Drop Down'!$Q$2:$Q$5</xm:f>
          </x14:formula1>
          <xm:sqref>E19 E13:E15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8721A-C94A-4497-9AA0-B87D59DABE15}">
  <sheetPr codeName="Tabelle11">
    <tabColor theme="9"/>
  </sheetPr>
  <dimension ref="A1:AX100"/>
  <sheetViews>
    <sheetView showGridLines="0" zoomScaleNormal="100" workbookViewId="0">
      <selection activeCell="K73" sqref="K73"/>
    </sheetView>
  </sheetViews>
  <sheetFormatPr baseColWidth="10" defaultColWidth="11.33203125" defaultRowHeight="15"/>
  <cols>
    <col min="2" max="2" width="23.33203125" customWidth="1"/>
    <col min="3" max="3" width="35.6640625" customWidth="1"/>
    <col min="4" max="4" width="11.6640625" customWidth="1"/>
    <col min="8" max="8" width="35.33203125" customWidth="1"/>
    <col min="10" max="10" width="20.1640625" customWidth="1"/>
    <col min="11" max="11" width="35.6640625" customWidth="1"/>
    <col min="13" max="13" width="11.83203125" customWidth="1"/>
    <col min="16" max="16" width="34.83203125" customWidth="1"/>
    <col min="18" max="18" width="23.6640625" customWidth="1"/>
    <col min="19" max="19" width="35.6640625" customWidth="1"/>
    <col min="20" max="22" width="11.6640625" customWidth="1"/>
    <col min="23" max="23" width="16.6640625" hidden="1" customWidth="1"/>
    <col min="24" max="24" width="35.6640625" customWidth="1"/>
    <col min="25" max="25" width="11.6640625" customWidth="1"/>
    <col min="26" max="26" width="20.1640625" customWidth="1"/>
    <col min="27" max="27" width="35.6640625" customWidth="1"/>
    <col min="29" max="29" width="34.33203125" customWidth="1"/>
    <col min="30" max="30" width="11.33203125" customWidth="1"/>
    <col min="31" max="31" width="23.5" customWidth="1"/>
    <col min="32" max="32" width="35.6640625" customWidth="1"/>
    <col min="33" max="33" width="11" customWidth="1"/>
    <col min="34" max="34" width="27.1640625" customWidth="1"/>
    <col min="35" max="35" width="11.5" customWidth="1"/>
    <col min="36" max="36" width="23.6640625" customWidth="1"/>
    <col min="37" max="37" width="35.6640625" customWidth="1"/>
    <col min="38" max="38" width="11.6640625" customWidth="1"/>
    <col min="39" max="39" width="35.6640625" customWidth="1"/>
    <col min="40" max="40" width="11.6640625" customWidth="1"/>
    <col min="41" max="41" width="23.6640625" customWidth="1"/>
    <col min="42" max="42" width="35.6640625" customWidth="1"/>
    <col min="43" max="43" width="11.6640625" customWidth="1"/>
    <col min="44" max="44" width="35.6640625" customWidth="1"/>
    <col min="45" max="45" width="11.6640625" customWidth="1"/>
    <col min="46" max="46" width="21.33203125" customWidth="1"/>
    <col min="47" max="47" width="38.33203125" customWidth="1"/>
    <col min="49" max="49" width="26.5" customWidth="1"/>
  </cols>
  <sheetData>
    <row r="1" spans="1:50">
      <c r="A1" s="178"/>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80"/>
    </row>
    <row r="2" spans="1:50">
      <c r="A2" s="181"/>
      <c r="B2" s="144"/>
      <c r="C2" s="144"/>
      <c r="D2" s="144"/>
      <c r="E2" s="144"/>
      <c r="F2" s="144"/>
      <c r="G2" s="144"/>
      <c r="H2" s="144"/>
      <c r="I2" s="144"/>
      <c r="J2" s="144"/>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c r="AJ2" s="144"/>
      <c r="AK2" s="144"/>
      <c r="AL2" s="144"/>
      <c r="AM2" s="144"/>
      <c r="AN2" s="144"/>
      <c r="AO2" s="144"/>
      <c r="AP2" s="144"/>
      <c r="AQ2" s="144"/>
      <c r="AR2" s="144"/>
      <c r="AS2" s="144"/>
      <c r="AT2" s="144"/>
      <c r="AU2" s="144"/>
      <c r="AV2" s="144"/>
      <c r="AW2" s="144"/>
      <c r="AX2" s="182"/>
    </row>
    <row r="3" spans="1:50">
      <c r="A3" s="181"/>
      <c r="B3" s="444" t="s">
        <v>383</v>
      </c>
      <c r="C3" s="444"/>
      <c r="D3" s="444"/>
      <c r="E3" s="444"/>
      <c r="F3" s="444"/>
      <c r="G3" s="444"/>
      <c r="H3" s="444"/>
      <c r="I3" s="144"/>
      <c r="J3" s="444" t="s">
        <v>384</v>
      </c>
      <c r="K3" s="444"/>
      <c r="L3" s="444"/>
      <c r="M3" s="444"/>
      <c r="N3" s="444"/>
      <c r="O3" s="444"/>
      <c r="P3" s="444"/>
      <c r="Q3" s="144"/>
      <c r="R3" s="444" t="s">
        <v>385</v>
      </c>
      <c r="S3" s="444"/>
      <c r="T3" s="444"/>
      <c r="U3" s="444"/>
      <c r="V3" s="444"/>
      <c r="W3" s="444"/>
      <c r="X3" s="444"/>
      <c r="Y3" s="144"/>
      <c r="Z3" s="444" t="s">
        <v>386</v>
      </c>
      <c r="AA3" s="444"/>
      <c r="AB3" s="444"/>
      <c r="AC3" s="444"/>
      <c r="AD3" s="144"/>
      <c r="AE3" s="444" t="s">
        <v>387</v>
      </c>
      <c r="AF3" s="444"/>
      <c r="AG3" s="444"/>
      <c r="AH3" s="444"/>
      <c r="AI3" s="144"/>
      <c r="AJ3" s="444" t="s">
        <v>388</v>
      </c>
      <c r="AK3" s="444"/>
      <c r="AL3" s="444"/>
      <c r="AM3" s="444"/>
      <c r="AN3" s="144"/>
      <c r="AO3" s="444" t="s">
        <v>389</v>
      </c>
      <c r="AP3" s="444"/>
      <c r="AQ3" s="444"/>
      <c r="AR3" s="444"/>
      <c r="AT3" s="444" t="s">
        <v>390</v>
      </c>
      <c r="AU3" s="444"/>
      <c r="AV3" s="444"/>
      <c r="AW3" s="444"/>
      <c r="AX3" s="305"/>
    </row>
    <row r="4" spans="1:50">
      <c r="A4" s="181"/>
      <c r="B4" s="144"/>
      <c r="C4" s="144"/>
      <c r="D4" s="144"/>
      <c r="E4" s="144"/>
      <c r="F4" s="144"/>
      <c r="G4" s="144"/>
      <c r="H4" s="144"/>
      <c r="I4" s="144"/>
      <c r="J4" s="144"/>
      <c r="K4" s="144"/>
      <c r="L4" s="144"/>
      <c r="M4" s="144"/>
      <c r="N4" s="144"/>
      <c r="O4" s="144"/>
      <c r="P4" s="144"/>
      <c r="Q4" s="144"/>
      <c r="R4" s="144"/>
      <c r="S4" s="144"/>
      <c r="T4" s="144"/>
      <c r="U4" s="144"/>
      <c r="V4" s="144"/>
      <c r="W4" s="144"/>
      <c r="X4" s="144"/>
      <c r="Y4" s="144"/>
      <c r="Z4" s="144"/>
      <c r="AA4" s="145"/>
      <c r="AB4" s="144"/>
      <c r="AC4" s="145"/>
      <c r="AD4" s="144"/>
      <c r="AE4" s="144"/>
      <c r="AF4" s="145"/>
      <c r="AG4" s="144"/>
      <c r="AH4" s="145"/>
      <c r="AI4" s="144"/>
      <c r="AJ4" s="446" t="str">
        <f>IF(ISBLANK('Raw Material Calculation'!C16),"Further processing by Fraunhofer is required","")</f>
        <v>Further processing by Fraunhofer is required</v>
      </c>
      <c r="AK4" s="446"/>
      <c r="AL4" s="446"/>
      <c r="AM4" s="446"/>
      <c r="AN4" s="144"/>
      <c r="AO4" s="144"/>
      <c r="AP4" s="145"/>
      <c r="AQ4" s="144"/>
      <c r="AR4" s="145"/>
      <c r="AT4" s="144"/>
      <c r="AU4" s="144"/>
      <c r="AV4" s="144"/>
      <c r="AW4" s="144"/>
      <c r="AX4" s="305"/>
    </row>
    <row r="5" spans="1:50">
      <c r="A5" s="181"/>
      <c r="B5" s="145" t="s">
        <v>391</v>
      </c>
      <c r="C5" s="144"/>
      <c r="D5" s="144"/>
      <c r="E5" s="144"/>
      <c r="F5" s="144"/>
      <c r="G5" s="144"/>
      <c r="H5" s="144"/>
      <c r="I5" s="144"/>
      <c r="J5" s="145" t="s">
        <v>42</v>
      </c>
      <c r="K5" s="144"/>
      <c r="L5" s="144"/>
      <c r="M5" s="144"/>
      <c r="N5" s="144"/>
      <c r="O5" s="144"/>
      <c r="P5" s="144"/>
      <c r="Q5" s="144"/>
      <c r="R5" s="145" t="s">
        <v>392</v>
      </c>
      <c r="S5" s="144" t="s">
        <v>51</v>
      </c>
      <c r="T5" s="144"/>
      <c r="U5" s="144"/>
      <c r="V5" s="144"/>
      <c r="W5" s="144"/>
      <c r="X5" s="144"/>
      <c r="Y5" s="144"/>
      <c r="Z5" s="145" t="s">
        <v>393</v>
      </c>
      <c r="AA5" s="144"/>
      <c r="AB5" s="144"/>
      <c r="AC5" s="144"/>
      <c r="AD5" s="232"/>
      <c r="AE5" s="145" t="s">
        <v>394</v>
      </c>
      <c r="AF5" s="144"/>
      <c r="AG5" s="144"/>
      <c r="AH5" s="144"/>
      <c r="AI5" s="144"/>
      <c r="AJ5" s="1" t="s">
        <v>395</v>
      </c>
      <c r="AN5" s="144"/>
      <c r="AO5" s="145" t="s">
        <v>396</v>
      </c>
      <c r="AP5" s="144"/>
      <c r="AQ5" s="144"/>
      <c r="AR5" s="144"/>
      <c r="AS5" s="234"/>
      <c r="AT5" s="145" t="s">
        <v>397</v>
      </c>
      <c r="AU5" s="144"/>
      <c r="AV5" s="144"/>
      <c r="AW5" s="144"/>
      <c r="AX5" s="305"/>
    </row>
    <row r="6" spans="1:50" s="234" customFormat="1">
      <c r="A6" s="231"/>
      <c r="B6" s="213" t="s">
        <v>35</v>
      </c>
      <c r="C6" s="213" t="s">
        <v>36</v>
      </c>
      <c r="D6" s="213" t="s">
        <v>398</v>
      </c>
      <c r="E6" s="213" t="s">
        <v>399</v>
      </c>
      <c r="F6" s="213" t="s">
        <v>400</v>
      </c>
      <c r="G6" s="232"/>
      <c r="H6" s="213" t="s">
        <v>401</v>
      </c>
      <c r="I6" s="232"/>
      <c r="J6" s="213" t="s">
        <v>35</v>
      </c>
      <c r="K6" s="209" t="s">
        <v>36</v>
      </c>
      <c r="L6" s="213" t="s">
        <v>398</v>
      </c>
      <c r="M6" s="232"/>
      <c r="N6" s="232"/>
      <c r="O6" s="232"/>
      <c r="P6" s="213" t="s">
        <v>401</v>
      </c>
      <c r="Q6" s="232"/>
      <c r="R6" s="213" t="s">
        <v>35</v>
      </c>
      <c r="S6" s="213" t="s">
        <v>36</v>
      </c>
      <c r="T6" s="213" t="s">
        <v>402</v>
      </c>
      <c r="U6" s="213" t="s">
        <v>399</v>
      </c>
      <c r="V6" s="213" t="s">
        <v>400</v>
      </c>
      <c r="W6" s="232"/>
      <c r="X6" s="213" t="s">
        <v>401</v>
      </c>
      <c r="Y6" s="232"/>
      <c r="Z6" s="213" t="s">
        <v>35</v>
      </c>
      <c r="AA6" s="213" t="s">
        <v>36</v>
      </c>
      <c r="AB6" s="232"/>
      <c r="AC6" s="213" t="s">
        <v>401</v>
      </c>
      <c r="AD6" s="144"/>
      <c r="AE6" s="213" t="s">
        <v>35</v>
      </c>
      <c r="AF6" s="213" t="s">
        <v>36</v>
      </c>
      <c r="AG6" s="232"/>
      <c r="AH6" s="213" t="s">
        <v>403</v>
      </c>
      <c r="AI6" s="232"/>
      <c r="AJ6" s="213" t="s">
        <v>35</v>
      </c>
      <c r="AK6" s="213" t="s">
        <v>36</v>
      </c>
      <c r="AL6" s="232"/>
      <c r="AM6" s="213" t="s">
        <v>404</v>
      </c>
      <c r="AN6" s="232"/>
      <c r="AO6" s="213" t="s">
        <v>35</v>
      </c>
      <c r="AP6" s="213" t="s">
        <v>36</v>
      </c>
      <c r="AQ6" s="232"/>
      <c r="AR6" s="213" t="s">
        <v>405</v>
      </c>
      <c r="AS6"/>
      <c r="AT6" s="213" t="s">
        <v>35</v>
      </c>
      <c r="AU6" s="213" t="s">
        <v>36</v>
      </c>
      <c r="AV6" s="232"/>
      <c r="AW6" s="213" t="s">
        <v>406</v>
      </c>
      <c r="AX6" s="306"/>
    </row>
    <row r="7" spans="1:50">
      <c r="A7" s="181"/>
      <c r="B7" s="289">
        <f>IF(ISBLANK('General Information'!C18),"",'General Information'!B18)</f>
        <v>1</v>
      </c>
      <c r="C7" s="289" t="str">
        <f>IF(ISBLANK('General Information'!C18),"",'General Information'!C18)</f>
        <v>Alaska Plant 1</v>
      </c>
      <c r="D7" s="289">
        <f>IF(ISBLANK('General Information'!$C18),"",'General Information'!$E18*_xlfn.XLOOKUP('General Information'!$D18,Data!$Z$7:$Z$33,Data!AC$7:AC$33)*0.0004536)</f>
        <v>11623.40928</v>
      </c>
      <c r="E7" s="289">
        <f>IF(ISBLANK('General Information'!$C18),"",'General Information'!$E18*_xlfn.XLOOKUP('General Information'!$D18,Data!$Z$7:$Z$33,Data!AD$7:AD$33)*0.0004536)</f>
        <v>0.99066240000000005</v>
      </c>
      <c r="F7" s="289">
        <f>IF(ISBLANK('General Information'!$C18),"",'General Information'!$E18*_xlfn.XLOOKUP('General Information'!$D18,Data!$Z$7:$Z$33,Data!AE$7:AE$33)*0.0004536)</f>
        <v>0.1306368</v>
      </c>
      <c r="G7" s="144"/>
      <c r="H7" s="289">
        <f>IF(ISBLANK('General Information'!C18),"",Results!D7+25*Results!E7+298*Results!F7)</f>
        <v>11687.1056064</v>
      </c>
      <c r="I7" s="144"/>
      <c r="J7" s="289" t="str">
        <f>IF(ISBLANK('Company owned Transport'!B12),"",'Company owned Transport'!B12)</f>
        <v/>
      </c>
      <c r="K7" s="292" t="str">
        <f>IF(ISBLANK('Company owned Transport'!C12),"",'Company owned Transport'!C12)</f>
        <v/>
      </c>
      <c r="L7" s="289" t="str">
        <f>IF(ISBLANK('Company owned Transport'!E12),"",_xlfn.XLOOKUP('Company owned Transport'!$D12,Data!$K$6:$K$15,Data!L$6:L$15,"")*'Company owned Transport'!$E12/1000)</f>
        <v/>
      </c>
      <c r="M7" s="144"/>
      <c r="N7" s="144"/>
      <c r="O7" s="144"/>
      <c r="P7" s="289" t="str">
        <f>IF(ISBLANK('Company owned Transport'!E12),"",Results!L7+Results!M7*25+Results!N7*298)</f>
        <v/>
      </c>
      <c r="Q7" s="144"/>
      <c r="R7" s="289">
        <f>IF(ISBLANK('General Information'!H18),"",'General Information'!B18)</f>
        <v>1</v>
      </c>
      <c r="S7" s="289" t="str">
        <f>IF(ISBLANK('General Information'!H18),"",'General Information'!C18)</f>
        <v>Alaska Plant 1</v>
      </c>
      <c r="T7" s="289">
        <f>IF(ISBLANK('General Information'!$H18),"",'General Information'!$H18*41*(Data!U$18+Data!U$19)/1000)</f>
        <v>0.31426751124999996</v>
      </c>
      <c r="U7" s="289">
        <f>IF(ISBLANK('General Information'!$H18),"",'General Information'!$H18*41*(Data!V$18+Data!V$19)/1000)</f>
        <v>4.3117445000000004E-2</v>
      </c>
      <c r="V7" s="289">
        <f>IF(ISBLANK('General Information'!$H18),"",'General Information'!$H18*41*(Data!W$18+Data!W$19)/1000)</f>
        <v>1.2391045625E-2</v>
      </c>
      <c r="W7" s="144"/>
      <c r="X7" s="289">
        <f>IF(ISBLANK('General Information'!$H18),"",Results!T7+25*Results!U7+298*Results!V7)</f>
        <v>5.0847352324999999</v>
      </c>
      <c r="Y7" s="144"/>
      <c r="Z7" s="289" t="str">
        <f>IF(ISBLANK('Purchased Gases &amp; Refrigerants'!$C15),"",'Purchased Gases &amp; Refrigerants'!B15)</f>
        <v/>
      </c>
      <c r="AA7" s="289" t="str">
        <f>IF(ISBLANK('Purchased Gases &amp; Refrigerants'!$C15),"",'Purchased Gases &amp; Refrigerants'!C15)</f>
        <v/>
      </c>
      <c r="AB7" s="144"/>
      <c r="AC7" s="289" t="str">
        <f>IF(ISBLANK('Purchased Gases &amp; Refrigerants'!$E15),"",_xlfn.XLOOKUP('Purchased Gases &amp; Refrigerants'!D15,Data!$AU$6:$AU$37,Data!$AV$6:$AV$37,0)*'Purchased Gases &amp; Refrigerants'!$E15*0.0004536)</f>
        <v/>
      </c>
      <c r="AD7" s="144"/>
      <c r="AE7" s="289" t="str">
        <f>IF(ISBLANK('Purchased Gases &amp; Refrigerants'!$C15),"",'Purchased Gases &amp; Refrigerants'!B15)</f>
        <v/>
      </c>
      <c r="AF7" s="289" t="str">
        <f>IF(ISBLANK('Purchased Gases &amp; Refrigerants'!$C15),"",'Purchased Gases &amp; Refrigerants'!C15)</f>
        <v/>
      </c>
      <c r="AG7" s="144"/>
      <c r="AH7" s="289" t="str">
        <f>IF(ISBLANK('Purchased Gases &amp; Refrigerants'!E15),"",_xlfn.XLOOKUP('Purchased Gases &amp; Refrigerants'!D15,Data!$AU$38:$AU$40,Data!$AV$38:$AV$40,0)*'Purchased Gases &amp; Refrigerants'!E15*0.4536)</f>
        <v/>
      </c>
      <c r="AI7" s="144"/>
      <c r="AJ7" s="289" t="str">
        <f>IF(ISBLANK('Raw Material Usage'!B12),"",'Raw Material Usage'!B12)</f>
        <v/>
      </c>
      <c r="AK7" s="289" t="str">
        <f>IF(ISBLANK('Raw Material Usage'!C12),"",'Raw Material Usage'!C12)</f>
        <v/>
      </c>
      <c r="AL7" s="144"/>
      <c r="AM7" s="289" t="str">
        <f ca="1">IF(ISBLANK('Raw Material Usage'!E12),"",OFFSET('Raw Material Calculation'!$J$11,16*1,0)/1000)</f>
        <v/>
      </c>
      <c r="AN7" s="144"/>
      <c r="AO7" s="289" t="str">
        <f>IF(ISBLANK('Raw Material Usage'!B12),"",'Raw Material Usage'!B12)</f>
        <v/>
      </c>
      <c r="AP7" s="289" t="str">
        <f>IF(ISBLANK('Raw Material Usage'!C12),"",'Raw Material Usage'!C12)</f>
        <v/>
      </c>
      <c r="AQ7" s="144"/>
      <c r="AR7" s="289" t="str">
        <f>IF(ISBLANK('Raw Material Usage'!E12),"",_xlfn.XLOOKUP('Raw Material Usage'!D12,Data!$BL$6:$BL$30,Data!$BM$6:$BM$30,0)*'Raw Material Usage'!E12/1.102)</f>
        <v/>
      </c>
      <c r="AT7" s="289" t="str">
        <f>IF(ISBLANK('Waste Disposal'!B12),"",'Waste Disposal'!B12)</f>
        <v/>
      </c>
      <c r="AU7" s="289" t="str">
        <f>IF(ISBLANK('Waste Disposal'!C12),"",'Waste Disposal'!C12)</f>
        <v/>
      </c>
      <c r="AV7" s="144"/>
      <c r="AW7" s="289" t="str">
        <f>IF(ISBLANK('Waste Disposal'!$F12),"",CHOOSE(MATCH('Waste Disposal'!E12,Data!$AO$5:$AR$5,0),_xlfn.XLOOKUP('Waste Disposal'!$D12,Data!$AN$6:$AN$65,Data!$AO$6:$AO$65),_xlfn.XLOOKUP('Waste Disposal'!$D12,Data!$AN$6:$AN$65,Data!$AP$6:$AP$65),_xlfn.XLOOKUP('Waste Disposal'!$D12,Data!$AN$6:$AN$65,Data!$AQ$6:$AQ$65),_xlfn.XLOOKUP('Waste Disposal'!$D12,Data!$AN$6:$AN$65,Data!$AR$6:$AR$65))*'Waste Disposal'!$F12)</f>
        <v/>
      </c>
      <c r="AX7" s="305"/>
    </row>
    <row r="8" spans="1:50">
      <c r="A8" s="181"/>
      <c r="B8" s="290">
        <f>IF(ISBLANK('General Information'!C19),"",'General Information'!B19)</f>
        <v>2</v>
      </c>
      <c r="C8" s="290" t="str">
        <f>IF(ISBLANK('General Information'!C19),"",'General Information'!C19)</f>
        <v>Alaska Plant 2</v>
      </c>
      <c r="D8" s="290">
        <f>IF(ISBLANK('General Information'!$C19),"",'General Information'!$E19*_xlfn.XLOOKUP('General Information'!$D19,Data!$Z$7:$Z$33,Data!AC$7:AC$33)*0.0004536)</f>
        <v>13076.335440000001</v>
      </c>
      <c r="E8" s="290">
        <f>IF(ISBLANK('General Information'!$C19),"",'General Information'!$E19*_xlfn.XLOOKUP('General Information'!$D19,Data!$Z$7:$Z$33,Data!AD$7:AD$33)*0.0004536)</f>
        <v>1.1144952000000001</v>
      </c>
      <c r="F8" s="290">
        <f>IF(ISBLANK('General Information'!$C19),"",'General Information'!$E19*_xlfn.XLOOKUP('General Information'!$D19,Data!$Z$7:$Z$33,Data!AE$7:AE$33)*0.0004536)</f>
        <v>0.1469664</v>
      </c>
      <c r="G8" s="144"/>
      <c r="H8" s="290">
        <f>IF(ISBLANK('General Information'!C19),"",Results!D8+25*Results!E8+298*Results!F8)</f>
        <v>13147.9938072</v>
      </c>
      <c r="I8" s="144"/>
      <c r="J8" s="290" t="str">
        <f>IF(ISBLANK('Company owned Transport'!B13),"",'Company owned Transport'!B13)</f>
        <v/>
      </c>
      <c r="K8" s="294" t="str">
        <f>IF(ISBLANK('Company owned Transport'!C13),"",'Company owned Transport'!C13)</f>
        <v/>
      </c>
      <c r="L8" s="290" t="str">
        <f>IF(ISBLANK('Company owned Transport'!E13),"",_xlfn.XLOOKUP('Company owned Transport'!$D13,Data!$K$6:$K$15,Data!L$6:L$15,"")*'Company owned Transport'!$E13/1000)</f>
        <v/>
      </c>
      <c r="M8" s="144"/>
      <c r="N8" s="144"/>
      <c r="O8" s="144"/>
      <c r="P8" s="290" t="str">
        <f>IF(ISBLANK('Company owned Transport'!E13),"",Results!L8+Results!M8*25+Results!N8*298)</f>
        <v/>
      </c>
      <c r="Q8" s="144"/>
      <c r="R8" s="290">
        <f>IF(ISBLANK('General Information'!H19),"",'General Information'!B19)</f>
        <v>2</v>
      </c>
      <c r="S8" s="290" t="str">
        <f>IF(ISBLANK('General Information'!H19),"",'General Information'!C19)</f>
        <v>Alaska Plant 2</v>
      </c>
      <c r="T8" s="290">
        <f>IF(ISBLANK('General Information'!$H19),"",'General Information'!$H19*41*(Data!U$18+Data!U$19)/1000)</f>
        <v>0.35916287000000002</v>
      </c>
      <c r="U8" s="290">
        <f>IF(ISBLANK('General Information'!$H19),"",'General Information'!$H19*41*(Data!V$18+Data!V$19)/1000)</f>
        <v>4.9277080000000008E-2</v>
      </c>
      <c r="V8" s="290">
        <f>IF(ISBLANK('General Information'!$H19),"",'General Information'!$H19*41*(Data!W$18+Data!W$19)/1000)</f>
        <v>1.4161195000000001E-2</v>
      </c>
      <c r="W8" s="144"/>
      <c r="X8" s="290">
        <f>IF(ISBLANK('General Information'!$H19),"",Results!T8+25*Results!U8+298*Results!V8)</f>
        <v>5.8111259800000008</v>
      </c>
      <c r="Y8" s="144"/>
      <c r="Z8" s="290" t="str">
        <f>IF(ISBLANK('Purchased Gases &amp; Refrigerants'!$C16),"",'Purchased Gases &amp; Refrigerants'!B16)</f>
        <v/>
      </c>
      <c r="AA8" s="290" t="str">
        <f>IF(ISBLANK('Purchased Gases &amp; Refrigerants'!$C16),"",'Purchased Gases &amp; Refrigerants'!C16)</f>
        <v/>
      </c>
      <c r="AB8" s="144"/>
      <c r="AC8" s="290" t="str">
        <f>IF(ISBLANK('Purchased Gases &amp; Refrigerants'!$E16),"",_xlfn.XLOOKUP('Purchased Gases &amp; Refrigerants'!D16,Data!$AU$6:$AU$37,Data!$AV$6:$AV$37,0)*'Purchased Gases &amp; Refrigerants'!$E16*0.0004536)</f>
        <v/>
      </c>
      <c r="AD8" s="144"/>
      <c r="AE8" s="290" t="str">
        <f>IF(ISBLANK('Purchased Gases &amp; Refrigerants'!$C16),"",'Purchased Gases &amp; Refrigerants'!B16)</f>
        <v/>
      </c>
      <c r="AF8" s="290" t="str">
        <f>IF(ISBLANK('Purchased Gases &amp; Refrigerants'!$C16),"",'Purchased Gases &amp; Refrigerants'!C16)</f>
        <v/>
      </c>
      <c r="AG8" s="144"/>
      <c r="AH8" s="290" t="str">
        <f>IF(ISBLANK('Purchased Gases &amp; Refrigerants'!E16),"",_xlfn.XLOOKUP('Purchased Gases &amp; Refrigerants'!D16,Data!$AU$38:$AU$40,Data!$AV$38:$AV$40,0)*'Purchased Gases &amp; Refrigerants'!E16*0.4536)</f>
        <v/>
      </c>
      <c r="AI8" s="144"/>
      <c r="AJ8" s="290" t="str">
        <f>IF(ISBLANK('Raw Material Usage'!B13),"",'Raw Material Usage'!B13)</f>
        <v/>
      </c>
      <c r="AK8" s="290" t="str">
        <f>IF(ISBLANK('Raw Material Usage'!C13),"",'Raw Material Usage'!C13)</f>
        <v/>
      </c>
      <c r="AL8" s="144"/>
      <c r="AM8" s="290" t="str">
        <f ca="1">IF(ISBLANK('Raw Material Usage'!E13),"",OFFSET('Raw Material Calculation'!$J$11,16*1,0)/1000)</f>
        <v/>
      </c>
      <c r="AN8" s="144"/>
      <c r="AO8" s="290" t="str">
        <f>IF(ISBLANK('Raw Material Usage'!B13),"",'Raw Material Usage'!B13)</f>
        <v/>
      </c>
      <c r="AP8" s="290" t="str">
        <f>IF(ISBLANK('Raw Material Usage'!C13),"",'Raw Material Usage'!C13)</f>
        <v/>
      </c>
      <c r="AQ8" s="144"/>
      <c r="AR8" s="290" t="str">
        <f>IF(ISBLANK('Raw Material Usage'!E13),"",_xlfn.XLOOKUP('Raw Material Usage'!D13,Data!$BL$6:$BL$30,Data!$BM$6:$BM$30,0)*'Raw Material Usage'!E13/1.102)</f>
        <v/>
      </c>
      <c r="AT8" s="290" t="str">
        <f>IF(ISBLANK('Waste Disposal'!B13),"",'Waste Disposal'!B13)</f>
        <v/>
      </c>
      <c r="AU8" s="290" t="str">
        <f>IF(ISBLANK('Waste Disposal'!C13),"",'Waste Disposal'!C13)</f>
        <v/>
      </c>
      <c r="AV8" s="144"/>
      <c r="AW8" s="290" t="str">
        <f>IF(ISBLANK('Waste Disposal'!$F13),"",CHOOSE(MATCH('Waste Disposal'!E13,Data!$AO$5:$AR$5,0),_xlfn.XLOOKUP('Waste Disposal'!$D13,Data!$AN$6:$AN$65,Data!$AO$6:$AO$65),_xlfn.XLOOKUP('Waste Disposal'!$D13,Data!$AN$6:$AN$65,Data!$AP$6:$AP$65),_xlfn.XLOOKUP('Waste Disposal'!$D13,Data!$AN$6:$AN$65,Data!$AQ$6:$AQ$65),_xlfn.XLOOKUP('Waste Disposal'!$D13,Data!$AN$6:$AN$65,Data!$AR$6:$AR$65))*'Waste Disposal'!$F13)</f>
        <v/>
      </c>
      <c r="AX8" s="305"/>
    </row>
    <row r="9" spans="1:50">
      <c r="A9" s="181"/>
      <c r="B9" s="289" t="str">
        <f>IF(ISBLANK('General Information'!C20),"",'General Information'!B20)</f>
        <v/>
      </c>
      <c r="C9" s="289" t="str">
        <f>IF(ISBLANK('General Information'!C20),"",'General Information'!C20)</f>
        <v/>
      </c>
      <c r="D9" s="289" t="str">
        <f>IF(ISBLANK('General Information'!$C20),"",'General Information'!$E20*_xlfn.XLOOKUP('General Information'!$D20,Data!$Z$7:$Z$33,Data!AC$7:AC$33)*0.0004536)</f>
        <v/>
      </c>
      <c r="E9" s="289" t="str">
        <f>IF(ISBLANK('General Information'!$C20),"",'General Information'!$E20*_xlfn.XLOOKUP('General Information'!$D20,Data!$Z$7:$Z$33,Data!AD$7:AD$33)*0.0004536)</f>
        <v/>
      </c>
      <c r="F9" s="289" t="str">
        <f>IF(ISBLANK('General Information'!$C20),"",'General Information'!$E20*_xlfn.XLOOKUP('General Information'!$D20,Data!$Z$7:$Z$33,Data!AE$7:AE$33)*0.0004536)</f>
        <v/>
      </c>
      <c r="G9" s="144"/>
      <c r="H9" s="289" t="str">
        <f>IF(ISBLANK('General Information'!C20),"",Results!D9+25*Results!E9+298*Results!F9)</f>
        <v/>
      </c>
      <c r="I9" s="144"/>
      <c r="J9" s="289" t="str">
        <f>IF(ISBLANK('Company owned Transport'!B14),"",'Company owned Transport'!B14)</f>
        <v/>
      </c>
      <c r="K9" s="292" t="str">
        <f>IF(ISBLANK('Company owned Transport'!C14),"",'Company owned Transport'!C14)</f>
        <v/>
      </c>
      <c r="L9" s="289" t="str">
        <f>IF(ISBLANK('Company owned Transport'!E14),"",_xlfn.XLOOKUP('Company owned Transport'!$D14,Data!$K$6:$K$15,Data!L$6:L$15,"")*'Company owned Transport'!$E14/1000)</f>
        <v/>
      </c>
      <c r="M9" s="144"/>
      <c r="N9" s="144"/>
      <c r="O9" s="144"/>
      <c r="P9" s="289" t="str">
        <f>IF(ISBLANK('Company owned Transport'!E14),"",Results!L9+Results!M9*25+Results!N9*298)</f>
        <v/>
      </c>
      <c r="Q9" s="144"/>
      <c r="R9" s="289" t="str">
        <f>IF(ISBLANK('General Information'!H20),"",'General Information'!B20)</f>
        <v/>
      </c>
      <c r="S9" s="289" t="str">
        <f>IF(ISBLANK('General Information'!H20),"",'General Information'!C20)</f>
        <v/>
      </c>
      <c r="T9" s="289" t="str">
        <f>IF(ISBLANK('General Information'!$H20),"",'General Information'!$H20*41*(Data!U$18+Data!U$19)/1000)</f>
        <v/>
      </c>
      <c r="U9" s="289" t="str">
        <f>IF(ISBLANK('General Information'!$H20),"",'General Information'!$H20*41*(Data!V$18+Data!V$19)/1000)</f>
        <v/>
      </c>
      <c r="V9" s="289" t="str">
        <f>IF(ISBLANK('General Information'!$H20),"",'General Information'!$H20*41*(Data!W$18+Data!W$19)/1000)</f>
        <v/>
      </c>
      <c r="W9" s="144"/>
      <c r="X9" s="289" t="str">
        <f>IF(ISBLANK('General Information'!$H20),"",Results!T9+25*Results!U9+298*Results!V9)</f>
        <v/>
      </c>
      <c r="Y9" s="144"/>
      <c r="Z9" s="289" t="str">
        <f>IF(ISBLANK('Purchased Gases &amp; Refrigerants'!$C17),"",'Purchased Gases &amp; Refrigerants'!B17)</f>
        <v/>
      </c>
      <c r="AA9" s="289" t="str">
        <f>IF(ISBLANK('Purchased Gases &amp; Refrigerants'!$C17),"",'Purchased Gases &amp; Refrigerants'!C17)</f>
        <v/>
      </c>
      <c r="AB9" s="144"/>
      <c r="AC9" s="289" t="str">
        <f>IF(ISBLANK('Purchased Gases &amp; Refrigerants'!$E17),"",_xlfn.XLOOKUP('Purchased Gases &amp; Refrigerants'!D17,Data!$AU$6:$AU$37,Data!$AV$6:$AV$37,0)*'Purchased Gases &amp; Refrigerants'!$E17*0.0004536)</f>
        <v/>
      </c>
      <c r="AD9" s="144"/>
      <c r="AE9" s="289" t="str">
        <f>IF(ISBLANK('Purchased Gases &amp; Refrigerants'!$C17),"",'Purchased Gases &amp; Refrigerants'!B17)</f>
        <v/>
      </c>
      <c r="AF9" s="289" t="str">
        <f>IF(ISBLANK('Purchased Gases &amp; Refrigerants'!$C17),"",'Purchased Gases &amp; Refrigerants'!C17)</f>
        <v/>
      </c>
      <c r="AG9" s="144"/>
      <c r="AH9" s="289" t="str">
        <f>IF(ISBLANK('Purchased Gases &amp; Refrigerants'!E17),"",_xlfn.XLOOKUP('Purchased Gases &amp; Refrigerants'!D17,Data!$AU$38:$AU$40,Data!$AV$38:$AV$40,0)*'Purchased Gases &amp; Refrigerants'!E17*0.4536)</f>
        <v/>
      </c>
      <c r="AI9" s="144"/>
      <c r="AJ9" s="289" t="str">
        <f>IF(ISBLANK('Raw Material Usage'!B14),"",'Raw Material Usage'!B14)</f>
        <v/>
      </c>
      <c r="AK9" s="289" t="str">
        <f>IF(ISBLANK('Raw Material Usage'!C14),"",'Raw Material Usage'!C14)</f>
        <v/>
      </c>
      <c r="AL9" s="144"/>
      <c r="AM9" s="289" t="str">
        <f ca="1">IF(ISBLANK('Raw Material Usage'!E14),"",OFFSET('Raw Material Calculation'!$J$11,16*1,0)/1000)</f>
        <v/>
      </c>
      <c r="AN9" s="144"/>
      <c r="AO9" s="289" t="str">
        <f>IF(ISBLANK('Raw Material Usage'!B14),"",'Raw Material Usage'!B14)</f>
        <v/>
      </c>
      <c r="AP9" s="289" t="str">
        <f>IF(ISBLANK('Raw Material Usage'!C14),"",'Raw Material Usage'!C14)</f>
        <v/>
      </c>
      <c r="AQ9" s="144"/>
      <c r="AR9" s="289" t="str">
        <f>IF(ISBLANK('Raw Material Usage'!E14),"",_xlfn.XLOOKUP('Raw Material Usage'!D14,Data!$BL$6:$BL$30,Data!$BM$6:$BM$30,0)*'Raw Material Usage'!E14/1.102)</f>
        <v/>
      </c>
      <c r="AT9" s="289" t="str">
        <f>IF(ISBLANK('Waste Disposal'!B14),"",'Waste Disposal'!B14)</f>
        <v/>
      </c>
      <c r="AU9" s="289" t="str">
        <f>IF(ISBLANK('Waste Disposal'!C14),"",'Waste Disposal'!C14)</f>
        <v/>
      </c>
      <c r="AV9" s="144"/>
      <c r="AW9" s="289" t="str">
        <f>IF(ISBLANK('Waste Disposal'!$F14),"",CHOOSE(MATCH('Waste Disposal'!E14,Data!$AO$5:$AR$5,0),_xlfn.XLOOKUP('Waste Disposal'!$D14,Data!$AN$6:$AN$65,Data!$AO$6:$AO$65),_xlfn.XLOOKUP('Waste Disposal'!$D14,Data!$AN$6:$AN$65,Data!$AP$6:$AP$65),_xlfn.XLOOKUP('Waste Disposal'!$D14,Data!$AN$6:$AN$65,Data!$AQ$6:$AQ$65),_xlfn.XLOOKUP('Waste Disposal'!$D14,Data!$AN$6:$AN$65,Data!$AR$6:$AR$65))*'Waste Disposal'!$F14)</f>
        <v/>
      </c>
      <c r="AX9" s="305"/>
    </row>
    <row r="10" spans="1:50">
      <c r="A10" s="181"/>
      <c r="B10" s="290" t="str">
        <f>IF(ISBLANK('General Information'!C21),"",'General Information'!B21)</f>
        <v/>
      </c>
      <c r="C10" s="290" t="str">
        <f>IF(ISBLANK('General Information'!C21),"",'General Information'!C21)</f>
        <v/>
      </c>
      <c r="D10" s="290" t="str">
        <f>IF(ISBLANK('General Information'!$C21),"",'General Information'!$E21*_xlfn.XLOOKUP('General Information'!$D21,Data!$Z$7:$Z$33,Data!AC$7:AC$33)*0.0004536)</f>
        <v/>
      </c>
      <c r="E10" s="290" t="str">
        <f>IF(ISBLANK('General Information'!$C21),"",'General Information'!$E21*_xlfn.XLOOKUP('General Information'!$D21,Data!$Z$7:$Z$33,Data!AD$7:AD$33)*0.0004536)</f>
        <v/>
      </c>
      <c r="F10" s="290" t="str">
        <f>IF(ISBLANK('General Information'!$C21),"",'General Information'!$E21*_xlfn.XLOOKUP('General Information'!$D21,Data!$Z$7:$Z$33,Data!AE$7:AE$33)*0.0004536)</f>
        <v/>
      </c>
      <c r="G10" s="144"/>
      <c r="H10" s="290" t="str">
        <f>IF(ISBLANK('General Information'!C21),"",Results!D10+25*Results!E10+298*Results!F10)</f>
        <v/>
      </c>
      <c r="I10" s="144"/>
      <c r="J10" s="290" t="str">
        <f>IF(ISBLANK('Company owned Transport'!B15),"",'Company owned Transport'!B15)</f>
        <v/>
      </c>
      <c r="K10" s="294" t="str">
        <f>IF(ISBLANK('Company owned Transport'!C15),"",'Company owned Transport'!C15)</f>
        <v/>
      </c>
      <c r="L10" s="290" t="str">
        <f>IF(ISBLANK('Company owned Transport'!E15),"",_xlfn.XLOOKUP('Company owned Transport'!$D15,Data!$K$6:$K$15,Data!L$6:L$15,"")*'Company owned Transport'!$E15/1000)</f>
        <v/>
      </c>
      <c r="M10" s="144"/>
      <c r="N10" s="144"/>
      <c r="O10" s="144"/>
      <c r="P10" s="290" t="str">
        <f>IF(ISBLANK('Company owned Transport'!E15),"",Results!L10+Results!M10*25+Results!N10*298)</f>
        <v/>
      </c>
      <c r="Q10" s="144"/>
      <c r="R10" s="290" t="str">
        <f>IF(ISBLANK('General Information'!H21),"",'General Information'!B21)</f>
        <v/>
      </c>
      <c r="S10" s="290" t="str">
        <f>IF(ISBLANK('General Information'!H21),"",'General Information'!C21)</f>
        <v/>
      </c>
      <c r="T10" s="290" t="str">
        <f>IF(ISBLANK('General Information'!$H21),"",'General Information'!$H21*41*(Data!U$18+Data!U$19)/1000)</f>
        <v/>
      </c>
      <c r="U10" s="290" t="str">
        <f>IF(ISBLANK('General Information'!$H21),"",'General Information'!$H21*41*(Data!V$18+Data!V$19)/1000)</f>
        <v/>
      </c>
      <c r="V10" s="290" t="str">
        <f>IF(ISBLANK('General Information'!$H21),"",'General Information'!$H21*41*(Data!W$18+Data!W$19)/1000)</f>
        <v/>
      </c>
      <c r="W10" s="144"/>
      <c r="X10" s="290" t="str">
        <f>IF(ISBLANK('General Information'!$H21),"",Results!T10+25*Results!U10+298*Results!V10)</f>
        <v/>
      </c>
      <c r="Y10" s="144"/>
      <c r="Z10" s="290" t="str">
        <f>IF(ISBLANK('Purchased Gases &amp; Refrigerants'!$C18),"",'Purchased Gases &amp; Refrigerants'!B18)</f>
        <v/>
      </c>
      <c r="AA10" s="290" t="str">
        <f>IF(ISBLANK('Purchased Gases &amp; Refrigerants'!$C18),"",'Purchased Gases &amp; Refrigerants'!C18)</f>
        <v/>
      </c>
      <c r="AB10" s="144"/>
      <c r="AC10" s="290" t="str">
        <f>IF(ISBLANK('Purchased Gases &amp; Refrigerants'!$E18),"",_xlfn.XLOOKUP('Purchased Gases &amp; Refrigerants'!D18,Data!$AU$6:$AU$37,Data!$AV$6:$AV$37,0)*'Purchased Gases &amp; Refrigerants'!$E18*0.0004536)</f>
        <v/>
      </c>
      <c r="AD10" s="144"/>
      <c r="AE10" s="290" t="str">
        <f>IF(ISBLANK('Purchased Gases &amp; Refrigerants'!$C18),"",'Purchased Gases &amp; Refrigerants'!B18)</f>
        <v/>
      </c>
      <c r="AF10" s="290" t="str">
        <f>IF(ISBLANK('Purchased Gases &amp; Refrigerants'!$C18),"",'Purchased Gases &amp; Refrigerants'!C18)</f>
        <v/>
      </c>
      <c r="AG10" s="144"/>
      <c r="AH10" s="290" t="str">
        <f>IF(ISBLANK('Purchased Gases &amp; Refrigerants'!E18),"",_xlfn.XLOOKUP('Purchased Gases &amp; Refrigerants'!D18,Data!$AU$38:$AU$40,Data!$AV$38:$AV$40,0)*'Purchased Gases &amp; Refrigerants'!E18*0.4536)</f>
        <v/>
      </c>
      <c r="AI10" s="144"/>
      <c r="AJ10" s="290" t="str">
        <f>IF(ISBLANK('Raw Material Usage'!B15),"",'Raw Material Usage'!B15)</f>
        <v/>
      </c>
      <c r="AK10" s="290" t="str">
        <f>IF(ISBLANK('Raw Material Usage'!C15),"",'Raw Material Usage'!C15)</f>
        <v/>
      </c>
      <c r="AL10" s="144"/>
      <c r="AM10" s="290" t="str">
        <f ca="1">IF(ISBLANK('Raw Material Usage'!E15),"",OFFSET('Raw Material Calculation'!$J$11,16*1,0)/1000)</f>
        <v/>
      </c>
      <c r="AN10" s="144"/>
      <c r="AO10" s="290" t="str">
        <f>IF(ISBLANK('Raw Material Usage'!B15),"",'Raw Material Usage'!B15)</f>
        <v/>
      </c>
      <c r="AP10" s="290" t="str">
        <f>IF(ISBLANK('Raw Material Usage'!C15),"",'Raw Material Usage'!C15)</f>
        <v/>
      </c>
      <c r="AQ10" s="144"/>
      <c r="AR10" s="290" t="str">
        <f>IF(ISBLANK('Raw Material Usage'!E15),"",_xlfn.XLOOKUP('Raw Material Usage'!D15,Data!$BL$6:$BL$30,Data!$BM$6:$BM$30,0)*'Raw Material Usage'!E15/1.102)</f>
        <v/>
      </c>
      <c r="AT10" s="290" t="str">
        <f>IF(ISBLANK('Waste Disposal'!B15),"",'Waste Disposal'!B15)</f>
        <v/>
      </c>
      <c r="AU10" s="290" t="str">
        <f>IF(ISBLANK('Waste Disposal'!C15),"",'Waste Disposal'!C15)</f>
        <v/>
      </c>
      <c r="AV10" s="144"/>
      <c r="AW10" s="290" t="str">
        <f>IF(ISBLANK('Waste Disposal'!$F15),"",CHOOSE(MATCH('Waste Disposal'!E15,Data!$AO$5:$AR$5,0),_xlfn.XLOOKUP('Waste Disposal'!$D15,Data!$AN$6:$AN$65,Data!$AO$6:$AO$65),_xlfn.XLOOKUP('Waste Disposal'!$D15,Data!$AN$6:$AN$65,Data!$AP$6:$AP$65),_xlfn.XLOOKUP('Waste Disposal'!$D15,Data!$AN$6:$AN$65,Data!$AQ$6:$AQ$65),_xlfn.XLOOKUP('Waste Disposal'!$D15,Data!$AN$6:$AN$65,Data!$AR$6:$AR$65))*'Waste Disposal'!$F15)</f>
        <v/>
      </c>
      <c r="AX10" s="305"/>
    </row>
    <row r="11" spans="1:50">
      <c r="A11" s="181"/>
      <c r="B11" s="289" t="str">
        <f>IF(ISBLANK('General Information'!C22),"",'General Information'!B22)</f>
        <v/>
      </c>
      <c r="C11" s="289" t="str">
        <f>IF(ISBLANK('General Information'!C22),"",'General Information'!C22)</f>
        <v/>
      </c>
      <c r="D11" s="289" t="str">
        <f>IF(ISBLANK('General Information'!$C22),"",'General Information'!$E22*_xlfn.XLOOKUP('General Information'!$D22,Data!$Z$7:$Z$33,Data!AC$7:AC$33)*0.0004536)</f>
        <v/>
      </c>
      <c r="E11" s="289" t="str">
        <f>IF(ISBLANK('General Information'!$C22),"",'General Information'!$E22*_xlfn.XLOOKUP('General Information'!$D22,Data!$Z$7:$Z$33,Data!AD$7:AD$33)*0.0004536)</f>
        <v/>
      </c>
      <c r="F11" s="289" t="str">
        <f>IF(ISBLANK('General Information'!$C22),"",'General Information'!$E22*_xlfn.XLOOKUP('General Information'!$D22,Data!$Z$7:$Z$33,Data!AE$7:AE$33)*0.0004536)</f>
        <v/>
      </c>
      <c r="G11" s="144"/>
      <c r="H11" s="289" t="str">
        <f>IF(ISBLANK('General Information'!C22),"",Results!D11+25*Results!E11+298*Results!F11)</f>
        <v/>
      </c>
      <c r="I11" s="144"/>
      <c r="J11" s="289" t="str">
        <f>IF(ISBLANK('Company owned Transport'!B16),"",'Company owned Transport'!B16)</f>
        <v/>
      </c>
      <c r="K11" s="292" t="str">
        <f>IF(ISBLANK('Company owned Transport'!C16),"",'Company owned Transport'!C16)</f>
        <v/>
      </c>
      <c r="L11" s="289" t="str">
        <f>IF(ISBLANK('Company owned Transport'!E16),"",_xlfn.XLOOKUP('Company owned Transport'!$D16,Data!$K$6:$K$15,Data!L$6:L$15,"")*'Company owned Transport'!$E16/1000)</f>
        <v/>
      </c>
      <c r="M11" s="144"/>
      <c r="N11" s="144"/>
      <c r="O11" s="144"/>
      <c r="P11" s="289" t="str">
        <f>IF(ISBLANK('Company owned Transport'!E16),"",Results!L11+Results!M11*25+Results!N11*298)</f>
        <v/>
      </c>
      <c r="Q11" s="144"/>
      <c r="R11" s="289" t="str">
        <f>IF(ISBLANK('General Information'!H22),"",'General Information'!B22)</f>
        <v/>
      </c>
      <c r="S11" s="289" t="str">
        <f>IF(ISBLANK('General Information'!H22),"",'General Information'!C22)</f>
        <v/>
      </c>
      <c r="T11" s="289" t="str">
        <f>IF(ISBLANK('General Information'!$H22),"",'General Information'!$H22*41*(Data!U$18+Data!U$19)/1000)</f>
        <v/>
      </c>
      <c r="U11" s="289" t="str">
        <f>IF(ISBLANK('General Information'!$H22),"",'General Information'!$H22*41*(Data!V$18+Data!V$19)/1000)</f>
        <v/>
      </c>
      <c r="V11" s="289" t="str">
        <f>IF(ISBLANK('General Information'!$H22),"",'General Information'!$H22*41*(Data!W$18+Data!W$19)/1000)</f>
        <v/>
      </c>
      <c r="W11" s="144"/>
      <c r="X11" s="289" t="str">
        <f>IF(ISBLANK('General Information'!$H22),"",Results!T11+25*Results!U11+298*Results!V11)</f>
        <v/>
      </c>
      <c r="Y11" s="144"/>
      <c r="Z11" s="289" t="str">
        <f>IF(ISBLANK('Purchased Gases &amp; Refrigerants'!$C19),"",'Purchased Gases &amp; Refrigerants'!B19)</f>
        <v/>
      </c>
      <c r="AA11" s="289" t="str">
        <f>IF(ISBLANK('Purchased Gases &amp; Refrigerants'!$C19),"",'Purchased Gases &amp; Refrigerants'!C19)</f>
        <v/>
      </c>
      <c r="AB11" s="144"/>
      <c r="AC11" s="289" t="str">
        <f>IF(ISBLANK('Purchased Gases &amp; Refrigerants'!$E19),"",_xlfn.XLOOKUP('Purchased Gases &amp; Refrigerants'!D19,Data!$AU$6:$AU$37,Data!$AV$6:$AV$37,0)*'Purchased Gases &amp; Refrigerants'!$E19*0.0004536)</f>
        <v/>
      </c>
      <c r="AD11" s="144"/>
      <c r="AE11" s="289" t="str">
        <f>IF(ISBLANK('Purchased Gases &amp; Refrigerants'!$C19),"",'Purchased Gases &amp; Refrigerants'!B19)</f>
        <v/>
      </c>
      <c r="AF11" s="289" t="str">
        <f>IF(ISBLANK('Purchased Gases &amp; Refrigerants'!$C19),"",'Purchased Gases &amp; Refrigerants'!C19)</f>
        <v/>
      </c>
      <c r="AG11" s="144"/>
      <c r="AH11" s="289" t="str">
        <f>IF(ISBLANK('Purchased Gases &amp; Refrigerants'!E19),"",_xlfn.XLOOKUP('Purchased Gases &amp; Refrigerants'!D19,Data!$AU$38:$AU$40,Data!$AV$38:$AV$40,0)*'Purchased Gases &amp; Refrigerants'!E19*0.4536)</f>
        <v/>
      </c>
      <c r="AI11" s="144"/>
      <c r="AJ11" s="289" t="str">
        <f>IF(ISBLANK('Raw Material Usage'!B16),"",'Raw Material Usage'!B16)</f>
        <v/>
      </c>
      <c r="AK11" s="289" t="str">
        <f>IF(ISBLANK('Raw Material Usage'!C16),"",'Raw Material Usage'!C16)</f>
        <v/>
      </c>
      <c r="AL11" s="144"/>
      <c r="AM11" s="289" t="str">
        <f ca="1">IF(ISBLANK('Raw Material Usage'!E16),"",OFFSET('Raw Material Calculation'!$J$11,16*1,0)/1000)</f>
        <v/>
      </c>
      <c r="AN11" s="144"/>
      <c r="AO11" s="289" t="str">
        <f>IF(ISBLANK('Raw Material Usage'!B16),"",'Raw Material Usage'!B16)</f>
        <v/>
      </c>
      <c r="AP11" s="289" t="str">
        <f>IF(ISBLANK('Raw Material Usage'!C16),"",'Raw Material Usage'!C16)</f>
        <v/>
      </c>
      <c r="AQ11" s="144"/>
      <c r="AR11" s="289" t="str">
        <f>IF(ISBLANK('Raw Material Usage'!E16),"",_xlfn.XLOOKUP('Raw Material Usage'!D16,Data!$BL$6:$BL$30,Data!$BM$6:$BM$30,0)*'Raw Material Usage'!E16/1.102)</f>
        <v/>
      </c>
      <c r="AT11" s="289" t="str">
        <f>IF(ISBLANK('Waste Disposal'!B16),"",'Waste Disposal'!B16)</f>
        <v/>
      </c>
      <c r="AU11" s="289" t="str">
        <f>IF(ISBLANK('Waste Disposal'!C16),"",'Waste Disposal'!C16)</f>
        <v/>
      </c>
      <c r="AV11" s="144"/>
      <c r="AW11" s="289" t="str">
        <f>IF(ISBLANK('Waste Disposal'!$F16),"",CHOOSE(MATCH('Waste Disposal'!E16,Data!$AO$5:$AR$5,0),_xlfn.XLOOKUP('Waste Disposal'!$D16,Data!$AN$6:$AN$65,Data!$AO$6:$AO$65),_xlfn.XLOOKUP('Waste Disposal'!$D16,Data!$AN$6:$AN$65,Data!$AP$6:$AP$65),_xlfn.XLOOKUP('Waste Disposal'!$D16,Data!$AN$6:$AN$65,Data!$AQ$6:$AQ$65),_xlfn.XLOOKUP('Waste Disposal'!$D16,Data!$AN$6:$AN$65,Data!$AR$6:$AR$65))*'Waste Disposal'!$F16)</f>
        <v/>
      </c>
      <c r="AX11" s="305"/>
    </row>
    <row r="12" spans="1:50">
      <c r="A12" s="181"/>
      <c r="B12" s="290" t="str">
        <f>IF(ISBLANK('General Information'!C23),"",'General Information'!B23)</f>
        <v/>
      </c>
      <c r="C12" s="290" t="str">
        <f>IF(ISBLANK('General Information'!C23),"",'General Information'!C23)</f>
        <v/>
      </c>
      <c r="D12" s="290" t="str">
        <f>IF(ISBLANK('General Information'!$C23),"",'General Information'!$E23*_xlfn.XLOOKUP('General Information'!$D23,Data!$Z$7:$Z$33,Data!AC$7:AC$33)*0.0004536)</f>
        <v/>
      </c>
      <c r="E12" s="290" t="str">
        <f>IF(ISBLANK('General Information'!$C23),"",'General Information'!$E23*_xlfn.XLOOKUP('General Information'!$D23,Data!$Z$7:$Z$33,Data!AD$7:AD$33)*0.0004536)</f>
        <v/>
      </c>
      <c r="F12" s="290" t="str">
        <f>IF(ISBLANK('General Information'!$C23),"",'General Information'!$E23*_xlfn.XLOOKUP('General Information'!$D23,Data!$Z$7:$Z$33,Data!AE$7:AE$33)*0.0004536)</f>
        <v/>
      </c>
      <c r="G12" s="144"/>
      <c r="H12" s="290" t="str">
        <f>IF(ISBLANK('General Information'!C23),"",Results!D12+25*Results!E12+298*Results!F12)</f>
        <v/>
      </c>
      <c r="I12" s="144"/>
      <c r="J12" s="290" t="str">
        <f>IF(ISBLANK('Company owned Transport'!B17),"",'Company owned Transport'!B17)</f>
        <v/>
      </c>
      <c r="K12" s="294" t="str">
        <f>IF(ISBLANK('Company owned Transport'!C17),"",'Company owned Transport'!C17)</f>
        <v/>
      </c>
      <c r="L12" s="290" t="str">
        <f>IF(ISBLANK('Company owned Transport'!E17),"",_xlfn.XLOOKUP('Company owned Transport'!$D17,Data!$K$6:$K$15,Data!L$6:L$15,"")*'Company owned Transport'!$E17/1000)</f>
        <v/>
      </c>
      <c r="M12" s="144"/>
      <c r="N12" s="144"/>
      <c r="O12" s="144"/>
      <c r="P12" s="290" t="str">
        <f>IF(ISBLANK('Company owned Transport'!E17),"",Results!L12+Results!M12*25+Results!N12*298)</f>
        <v/>
      </c>
      <c r="Q12" s="144"/>
      <c r="R12" s="290" t="str">
        <f>IF(ISBLANK('General Information'!H23),"",'General Information'!B23)</f>
        <v/>
      </c>
      <c r="S12" s="290" t="str">
        <f>IF(ISBLANK('General Information'!H23),"",'General Information'!C23)</f>
        <v/>
      </c>
      <c r="T12" s="290" t="str">
        <f>IF(ISBLANK('General Information'!$H23),"",'General Information'!$H23*41*(Data!U$18+Data!U$19)/1000)</f>
        <v/>
      </c>
      <c r="U12" s="290" t="str">
        <f>IF(ISBLANK('General Information'!$H23),"",'General Information'!$H23*41*(Data!V$18+Data!V$19)/1000)</f>
        <v/>
      </c>
      <c r="V12" s="290" t="str">
        <f>IF(ISBLANK('General Information'!$H23),"",'General Information'!$H23*41*(Data!W$18+Data!W$19)/1000)</f>
        <v/>
      </c>
      <c r="W12" s="144"/>
      <c r="X12" s="290" t="str">
        <f>IF(ISBLANK('General Information'!$H23),"",Results!T12+25*Results!U12+298*Results!V12)</f>
        <v/>
      </c>
      <c r="Y12" s="144"/>
      <c r="Z12" s="290" t="str">
        <f>IF(ISBLANK('Purchased Gases &amp; Refrigerants'!$C20),"",'Purchased Gases &amp; Refrigerants'!B20)</f>
        <v/>
      </c>
      <c r="AA12" s="290" t="str">
        <f>IF(ISBLANK('Purchased Gases &amp; Refrigerants'!$C20),"",'Purchased Gases &amp; Refrigerants'!C20)</f>
        <v/>
      </c>
      <c r="AB12" s="144"/>
      <c r="AC12" s="290" t="str">
        <f>IF(ISBLANK('Purchased Gases &amp; Refrigerants'!$E20),"",_xlfn.XLOOKUP('Purchased Gases &amp; Refrigerants'!D20,Data!$AU$6:$AU$37,Data!$AV$6:$AV$37,0)*'Purchased Gases &amp; Refrigerants'!$E20*0.0004536)</f>
        <v/>
      </c>
      <c r="AD12" s="144"/>
      <c r="AE12" s="290" t="str">
        <f>IF(ISBLANK('Purchased Gases &amp; Refrigerants'!$C20),"",'Purchased Gases &amp; Refrigerants'!B20)</f>
        <v/>
      </c>
      <c r="AF12" s="290" t="str">
        <f>IF(ISBLANK('Purchased Gases &amp; Refrigerants'!$C20),"",'Purchased Gases &amp; Refrigerants'!C20)</f>
        <v/>
      </c>
      <c r="AG12" s="144"/>
      <c r="AH12" s="290" t="str">
        <f>IF(ISBLANK('Purchased Gases &amp; Refrigerants'!E20),"",_xlfn.XLOOKUP('Purchased Gases &amp; Refrigerants'!D20,Data!$AU$38:$AU$40,Data!$AV$38:$AV$40,0)*'Purchased Gases &amp; Refrigerants'!E20*0.4536)</f>
        <v/>
      </c>
      <c r="AI12" s="144"/>
      <c r="AJ12" s="290" t="str">
        <f>IF(ISBLANK('Raw Material Usage'!B17),"",'Raw Material Usage'!B17)</f>
        <v/>
      </c>
      <c r="AK12" s="290" t="str">
        <f>IF(ISBLANK('Raw Material Usage'!C17),"",'Raw Material Usage'!C17)</f>
        <v/>
      </c>
      <c r="AL12" s="144"/>
      <c r="AM12" s="290" t="str">
        <f ca="1">IF(ISBLANK('Raw Material Usage'!E17),"",OFFSET('Raw Material Calculation'!$J$11,16*1,0)/1000)</f>
        <v/>
      </c>
      <c r="AN12" s="144"/>
      <c r="AO12" s="290" t="str">
        <f>IF(ISBLANK('Raw Material Usage'!B17),"",'Raw Material Usage'!B17)</f>
        <v/>
      </c>
      <c r="AP12" s="290" t="str">
        <f>IF(ISBLANK('Raw Material Usage'!C17),"",'Raw Material Usage'!C17)</f>
        <v/>
      </c>
      <c r="AQ12" s="144"/>
      <c r="AR12" s="290" t="str">
        <f>IF(ISBLANK('Raw Material Usage'!E17),"",_xlfn.XLOOKUP('Raw Material Usage'!D17,Data!$BL$6:$BL$30,Data!$BM$6:$BM$30,0)*'Raw Material Usage'!E17/1.102)</f>
        <v/>
      </c>
      <c r="AT12" s="290" t="str">
        <f>IF(ISBLANK('Waste Disposal'!B17),"",'Waste Disposal'!B17)</f>
        <v/>
      </c>
      <c r="AU12" s="290" t="str">
        <f>IF(ISBLANK('Waste Disposal'!C17),"",'Waste Disposal'!C17)</f>
        <v/>
      </c>
      <c r="AV12" s="144"/>
      <c r="AW12" s="290" t="str">
        <f>IF(ISBLANK('Waste Disposal'!$F17),"",CHOOSE(MATCH('Waste Disposal'!E17,Data!$AO$5:$AR$5,0),_xlfn.XLOOKUP('Waste Disposal'!$D17,Data!$AN$6:$AN$65,Data!$AO$6:$AO$65),_xlfn.XLOOKUP('Waste Disposal'!$D17,Data!$AN$6:$AN$65,Data!$AP$6:$AP$65),_xlfn.XLOOKUP('Waste Disposal'!$D17,Data!$AN$6:$AN$65,Data!$AQ$6:$AQ$65),_xlfn.XLOOKUP('Waste Disposal'!$D17,Data!$AN$6:$AN$65,Data!$AR$6:$AR$65))*'Waste Disposal'!$F17)</f>
        <v/>
      </c>
      <c r="AX12" s="305"/>
    </row>
    <row r="13" spans="1:50">
      <c r="A13" s="181"/>
      <c r="B13" s="289" t="str">
        <f>IF(ISBLANK('General Information'!C24),"",'General Information'!B24)</f>
        <v/>
      </c>
      <c r="C13" s="289" t="str">
        <f>IF(ISBLANK('General Information'!C24),"",'General Information'!C24)</f>
        <v/>
      </c>
      <c r="D13" s="289" t="str">
        <f>IF(ISBLANK('General Information'!$C24),"",'General Information'!$E24*_xlfn.XLOOKUP('General Information'!$D24,Data!$Z$7:$Z$33,Data!AC$7:AC$33)*0.0004536)</f>
        <v/>
      </c>
      <c r="E13" s="289" t="str">
        <f>IF(ISBLANK('General Information'!$C24),"",'General Information'!$E24*_xlfn.XLOOKUP('General Information'!$D24,Data!$Z$7:$Z$33,Data!AD$7:AD$33)*0.0004536)</f>
        <v/>
      </c>
      <c r="F13" s="289" t="str">
        <f>IF(ISBLANK('General Information'!$C24),"",'General Information'!$E24*_xlfn.XLOOKUP('General Information'!$D24,Data!$Z$7:$Z$33,Data!AE$7:AE$33)*0.0004536)</f>
        <v/>
      </c>
      <c r="G13" s="144"/>
      <c r="H13" s="289" t="str">
        <f>IF(ISBLANK('General Information'!C24),"",Results!D13+25*Results!E13+298*Results!F13)</f>
        <v/>
      </c>
      <c r="I13" s="144"/>
      <c r="J13" s="289" t="str">
        <f>IF(ISBLANK('Company owned Transport'!B18),"",'Company owned Transport'!B18)</f>
        <v/>
      </c>
      <c r="K13" s="292" t="str">
        <f>IF(ISBLANK('Company owned Transport'!C18),"",'Company owned Transport'!C18)</f>
        <v/>
      </c>
      <c r="L13" s="289" t="str">
        <f>IF(ISBLANK('Company owned Transport'!E18),"",_xlfn.XLOOKUP('Company owned Transport'!$D18,Data!$K$6:$K$15,Data!L$6:L$15,"")*'Company owned Transport'!$E18/1000)</f>
        <v/>
      </c>
      <c r="M13" s="144"/>
      <c r="N13" s="144"/>
      <c r="O13" s="144"/>
      <c r="P13" s="289" t="str">
        <f>IF(ISBLANK('Company owned Transport'!E18),"",Results!L13+Results!M13*25+Results!N13*298)</f>
        <v/>
      </c>
      <c r="Q13" s="144"/>
      <c r="R13" s="289" t="str">
        <f>IF(ISBLANK('General Information'!H24),"",'General Information'!B24)</f>
        <v/>
      </c>
      <c r="S13" s="289" t="str">
        <f>IF(ISBLANK('General Information'!H24),"",'General Information'!C24)</f>
        <v/>
      </c>
      <c r="T13" s="289" t="str">
        <f>IF(ISBLANK('General Information'!$H24),"",'General Information'!$H24*41*(Data!U$18+Data!U$19)/1000)</f>
        <v/>
      </c>
      <c r="U13" s="289" t="str">
        <f>IF(ISBLANK('General Information'!$H24),"",'General Information'!$H24*41*(Data!V$18+Data!V$19)/1000)</f>
        <v/>
      </c>
      <c r="V13" s="289" t="str">
        <f>IF(ISBLANK('General Information'!$H24),"",'General Information'!$H24*41*(Data!W$18+Data!W$19)/1000)</f>
        <v/>
      </c>
      <c r="W13" s="144"/>
      <c r="X13" s="289" t="str">
        <f>IF(ISBLANK('General Information'!$H24),"",Results!T13+25*Results!U13+298*Results!V13)</f>
        <v/>
      </c>
      <c r="Y13" s="144"/>
      <c r="Z13" s="289" t="str">
        <f>IF(ISBLANK('Purchased Gases &amp; Refrigerants'!$C21),"",'Purchased Gases &amp; Refrigerants'!B21)</f>
        <v/>
      </c>
      <c r="AA13" s="289" t="str">
        <f>IF(ISBLANK('Purchased Gases &amp; Refrigerants'!$C21),"",'Purchased Gases &amp; Refrigerants'!C21)</f>
        <v/>
      </c>
      <c r="AB13" s="144"/>
      <c r="AC13" s="289" t="str">
        <f>IF(ISBLANK('Purchased Gases &amp; Refrigerants'!$E21),"",_xlfn.XLOOKUP('Purchased Gases &amp; Refrigerants'!D21,Data!$AU$6:$AU$37,Data!$AV$6:$AV$37,0)*'Purchased Gases &amp; Refrigerants'!$E21*0.0004536)</f>
        <v/>
      </c>
      <c r="AD13" s="144"/>
      <c r="AE13" s="289" t="str">
        <f>IF(ISBLANK('Purchased Gases &amp; Refrigerants'!$C21),"",'Purchased Gases &amp; Refrigerants'!B21)</f>
        <v/>
      </c>
      <c r="AF13" s="289" t="str">
        <f>IF(ISBLANK('Purchased Gases &amp; Refrigerants'!$C21),"",'Purchased Gases &amp; Refrigerants'!C21)</f>
        <v/>
      </c>
      <c r="AG13" s="144"/>
      <c r="AH13" s="289" t="str">
        <f>IF(ISBLANK('Purchased Gases &amp; Refrigerants'!E21),"",_xlfn.XLOOKUP('Purchased Gases &amp; Refrigerants'!D21,Data!$AU$38:$AU$40,Data!$AV$38:$AV$40,0)*'Purchased Gases &amp; Refrigerants'!E21*0.4536)</f>
        <v/>
      </c>
      <c r="AI13" s="144"/>
      <c r="AJ13" s="289" t="str">
        <f>IF(ISBLANK('Raw Material Usage'!B18),"",'Raw Material Usage'!B18)</f>
        <v/>
      </c>
      <c r="AK13" s="289" t="str">
        <f>IF(ISBLANK('Raw Material Usage'!C18),"",'Raw Material Usage'!C18)</f>
        <v/>
      </c>
      <c r="AL13" s="144"/>
      <c r="AM13" s="289" t="str">
        <f ca="1">IF(ISBLANK('Raw Material Usage'!E18),"",OFFSET('Raw Material Calculation'!$J$11,16*1,0)/1000)</f>
        <v/>
      </c>
      <c r="AN13" s="144"/>
      <c r="AO13" s="289" t="str">
        <f>IF(ISBLANK('Raw Material Usage'!B18),"",'Raw Material Usage'!B18)</f>
        <v/>
      </c>
      <c r="AP13" s="289" t="str">
        <f>IF(ISBLANK('Raw Material Usage'!C18),"",'Raw Material Usage'!C18)</f>
        <v/>
      </c>
      <c r="AQ13" s="144"/>
      <c r="AR13" s="289" t="str">
        <f>IF(ISBLANK('Raw Material Usage'!E18),"",_xlfn.XLOOKUP('Raw Material Usage'!D18,Data!$BL$6:$BL$30,Data!$BM$6:$BM$30,0)*'Raw Material Usage'!E18/1.102)</f>
        <v/>
      </c>
      <c r="AT13" s="289" t="str">
        <f>IF(ISBLANK('Waste Disposal'!B18),"",'Waste Disposal'!B18)</f>
        <v/>
      </c>
      <c r="AU13" s="289" t="str">
        <f>IF(ISBLANK('Waste Disposal'!C18),"",'Waste Disposal'!C18)</f>
        <v/>
      </c>
      <c r="AV13" s="144"/>
      <c r="AW13" s="289" t="str">
        <f>IF(ISBLANK('Waste Disposal'!$F18),"",CHOOSE(MATCH('Waste Disposal'!E18,Data!$AO$5:$AR$5,0),_xlfn.XLOOKUP('Waste Disposal'!$D18,Data!$AN$6:$AN$65,Data!$AO$6:$AO$65),_xlfn.XLOOKUP('Waste Disposal'!$D18,Data!$AN$6:$AN$65,Data!$AP$6:$AP$65),_xlfn.XLOOKUP('Waste Disposal'!$D18,Data!$AN$6:$AN$65,Data!$AQ$6:$AQ$65),_xlfn.XLOOKUP('Waste Disposal'!$D18,Data!$AN$6:$AN$65,Data!$AR$6:$AR$65))*'Waste Disposal'!$F18)</f>
        <v/>
      </c>
      <c r="AX13" s="305"/>
    </row>
    <row r="14" spans="1:50">
      <c r="A14" s="181"/>
      <c r="B14" s="290" t="str">
        <f>IF(ISBLANK('General Information'!C25),"",'General Information'!B25)</f>
        <v/>
      </c>
      <c r="C14" s="290" t="str">
        <f>IF(ISBLANK('General Information'!C25),"",'General Information'!C25)</f>
        <v/>
      </c>
      <c r="D14" s="290" t="str">
        <f>IF(ISBLANK('General Information'!$C25),"",'General Information'!$E25*_xlfn.XLOOKUP('General Information'!$D25,Data!$Z$7:$Z$33,Data!AC$7:AC$33)*0.0004536)</f>
        <v/>
      </c>
      <c r="E14" s="290" t="str">
        <f>IF(ISBLANK('General Information'!$C25),"",'General Information'!$E25*_xlfn.XLOOKUP('General Information'!$D25,Data!$Z$7:$Z$33,Data!AD$7:AD$33)*0.0004536)</f>
        <v/>
      </c>
      <c r="F14" s="290" t="str">
        <f>IF(ISBLANK('General Information'!$C25),"",'General Information'!$E25*_xlfn.XLOOKUP('General Information'!$D25,Data!$Z$7:$Z$33,Data!AE$7:AE$33)*0.0004536)</f>
        <v/>
      </c>
      <c r="G14" s="144"/>
      <c r="H14" s="290" t="str">
        <f>IF(ISBLANK('General Information'!C25),"",Results!D14+25*Results!E14+298*Results!F14)</f>
        <v/>
      </c>
      <c r="I14" s="144"/>
      <c r="J14" s="290" t="str">
        <f>IF(ISBLANK('Company owned Transport'!B19),"",'Company owned Transport'!B19)</f>
        <v/>
      </c>
      <c r="K14" s="294" t="str">
        <f>IF(ISBLANK('Company owned Transport'!C19),"",'Company owned Transport'!C19)</f>
        <v/>
      </c>
      <c r="L14" s="290" t="str">
        <f>IF(ISBLANK('Company owned Transport'!E19),"",_xlfn.XLOOKUP('Company owned Transport'!$D19,Data!$K$6:$K$15,Data!L$6:L$15,"")*'Company owned Transport'!$E19/1000)</f>
        <v/>
      </c>
      <c r="M14" s="144"/>
      <c r="N14" s="144"/>
      <c r="O14" s="144"/>
      <c r="P14" s="290" t="str">
        <f>IF(ISBLANK('Company owned Transport'!E19),"",Results!L14+Results!M14*25+Results!N14*298)</f>
        <v/>
      </c>
      <c r="Q14" s="144"/>
      <c r="R14" s="290" t="str">
        <f>IF(ISBLANK('General Information'!H25),"",'General Information'!B25)</f>
        <v/>
      </c>
      <c r="S14" s="290" t="str">
        <f>IF(ISBLANK('General Information'!H25),"",'General Information'!C25)</f>
        <v/>
      </c>
      <c r="T14" s="290" t="str">
        <f>IF(ISBLANK('General Information'!$H25),"",'General Information'!$H25*41*(Data!U$18+Data!U$19)/1000)</f>
        <v/>
      </c>
      <c r="U14" s="290" t="str">
        <f>IF(ISBLANK('General Information'!$H25),"",'General Information'!$H25*41*(Data!V$18+Data!V$19)/1000)</f>
        <v/>
      </c>
      <c r="V14" s="290" t="str">
        <f>IF(ISBLANK('General Information'!$H25),"",'General Information'!$H25*41*(Data!W$18+Data!W$19)/1000)</f>
        <v/>
      </c>
      <c r="W14" s="144"/>
      <c r="X14" s="290" t="str">
        <f>IF(ISBLANK('General Information'!$H25),"",Results!T14+25*Results!U14+298*Results!V14)</f>
        <v/>
      </c>
      <c r="Y14" s="144"/>
      <c r="Z14" s="290" t="str">
        <f>IF(ISBLANK('Purchased Gases &amp; Refrigerants'!$C22),"",'Purchased Gases &amp; Refrigerants'!B22)</f>
        <v/>
      </c>
      <c r="AA14" s="290" t="str">
        <f>IF(ISBLANK('Purchased Gases &amp; Refrigerants'!$C22),"",'Purchased Gases &amp; Refrigerants'!C22)</f>
        <v/>
      </c>
      <c r="AB14" s="144"/>
      <c r="AC14" s="290" t="str">
        <f>IF(ISBLANK('Purchased Gases &amp; Refrigerants'!$E22),"",_xlfn.XLOOKUP('Purchased Gases &amp; Refrigerants'!D22,Data!$AU$6:$AU$37,Data!$AV$6:$AV$37,0)*'Purchased Gases &amp; Refrigerants'!$E22*0.0004536)</f>
        <v/>
      </c>
      <c r="AD14" s="144"/>
      <c r="AE14" s="290" t="str">
        <f>IF(ISBLANK('Purchased Gases &amp; Refrigerants'!$C22),"",'Purchased Gases &amp; Refrigerants'!B22)</f>
        <v/>
      </c>
      <c r="AF14" s="290" t="str">
        <f>IF(ISBLANK('Purchased Gases &amp; Refrigerants'!$C22),"",'Purchased Gases &amp; Refrigerants'!C22)</f>
        <v/>
      </c>
      <c r="AG14" s="144"/>
      <c r="AH14" s="290" t="str">
        <f>IF(ISBLANK('Purchased Gases &amp; Refrigerants'!E22),"",_xlfn.XLOOKUP('Purchased Gases &amp; Refrigerants'!D22,Data!$AU$38:$AU$40,Data!$AV$38:$AV$40,0)*'Purchased Gases &amp; Refrigerants'!E22*0.4536)</f>
        <v/>
      </c>
      <c r="AI14" s="144"/>
      <c r="AJ14" s="290" t="str">
        <f>IF(ISBLANK('Raw Material Usage'!B19),"",'Raw Material Usage'!B19)</f>
        <v/>
      </c>
      <c r="AK14" s="290" t="str">
        <f>IF(ISBLANK('Raw Material Usage'!C19),"",'Raw Material Usage'!C19)</f>
        <v/>
      </c>
      <c r="AL14" s="144"/>
      <c r="AM14" s="290" t="str">
        <f ca="1">IF(ISBLANK('Raw Material Usage'!E19),"",OFFSET('Raw Material Calculation'!$J$11,16*1,0)/1000)</f>
        <v/>
      </c>
      <c r="AN14" s="144"/>
      <c r="AO14" s="290" t="str">
        <f>IF(ISBLANK('Raw Material Usage'!B19),"",'Raw Material Usage'!B19)</f>
        <v/>
      </c>
      <c r="AP14" s="290" t="str">
        <f>IF(ISBLANK('Raw Material Usage'!C19),"",'Raw Material Usage'!C19)</f>
        <v/>
      </c>
      <c r="AQ14" s="144"/>
      <c r="AR14" s="290" t="str">
        <f>IF(ISBLANK('Raw Material Usage'!E19),"",_xlfn.XLOOKUP('Raw Material Usage'!D19,Data!$BL$6:$BL$30,Data!$BM$6:$BM$30,0)*'Raw Material Usage'!E19/1.102)</f>
        <v/>
      </c>
      <c r="AT14" s="290" t="str">
        <f>IF(ISBLANK('Waste Disposal'!B19),"",'Waste Disposal'!B19)</f>
        <v/>
      </c>
      <c r="AU14" s="290" t="str">
        <f>IF(ISBLANK('Waste Disposal'!C19),"",'Waste Disposal'!C19)</f>
        <v/>
      </c>
      <c r="AV14" s="144"/>
      <c r="AW14" s="290" t="str">
        <f>IF(ISBLANK('Waste Disposal'!$F19),"",CHOOSE(MATCH('Waste Disposal'!E19,Data!$AO$5:$AR$5,0),_xlfn.XLOOKUP('Waste Disposal'!$D19,Data!$AN$6:$AN$65,Data!$AO$6:$AO$65),_xlfn.XLOOKUP('Waste Disposal'!$D19,Data!$AN$6:$AN$65,Data!$AP$6:$AP$65),_xlfn.XLOOKUP('Waste Disposal'!$D19,Data!$AN$6:$AN$65,Data!$AQ$6:$AQ$65),_xlfn.XLOOKUP('Waste Disposal'!$D19,Data!$AN$6:$AN$65,Data!$AR$6:$AR$65))*'Waste Disposal'!$F19)</f>
        <v/>
      </c>
      <c r="AX14" s="305"/>
    </row>
    <row r="15" spans="1:50">
      <c r="A15" s="181"/>
      <c r="B15" s="289" t="str">
        <f>IF(ISBLANK('General Information'!C26),"",'General Information'!B26)</f>
        <v/>
      </c>
      <c r="C15" s="289" t="str">
        <f>IF(ISBLANK('General Information'!C26),"",'General Information'!C26)</f>
        <v/>
      </c>
      <c r="D15" s="289" t="str">
        <f>IF(ISBLANK('General Information'!$C26),"",'General Information'!$E26*_xlfn.XLOOKUP('General Information'!$D26,Data!$Z$7:$Z$33,Data!AC$7:AC$33)*0.0004536)</f>
        <v/>
      </c>
      <c r="E15" s="289" t="str">
        <f>IF(ISBLANK('General Information'!$C26),"",'General Information'!$E26*_xlfn.XLOOKUP('General Information'!$D26,Data!$Z$7:$Z$33,Data!AD$7:AD$33)*0.0004536)</f>
        <v/>
      </c>
      <c r="F15" s="289" t="str">
        <f>IF(ISBLANK('General Information'!$C26),"",'General Information'!$E26*_xlfn.XLOOKUP('General Information'!$D26,Data!$Z$7:$Z$33,Data!AE$7:AE$33)*0.0004536)</f>
        <v/>
      </c>
      <c r="G15" s="144"/>
      <c r="H15" s="289" t="str">
        <f>IF(ISBLANK('General Information'!C26),"",Results!D15+25*Results!E15+298*Results!F15)</f>
        <v/>
      </c>
      <c r="I15" s="144"/>
      <c r="J15" s="289" t="str">
        <f>IF(ISBLANK('Company owned Transport'!B20),"",'Company owned Transport'!B20)</f>
        <v/>
      </c>
      <c r="K15" s="292" t="str">
        <f>IF(ISBLANK('Company owned Transport'!C20),"",'Company owned Transport'!C20)</f>
        <v/>
      </c>
      <c r="L15" s="289" t="str">
        <f>IF(ISBLANK('Company owned Transport'!E20),"",_xlfn.XLOOKUP('Company owned Transport'!$D20,Data!$K$6:$K$15,Data!L$6:L$15,"")*'Company owned Transport'!$E20/1000)</f>
        <v/>
      </c>
      <c r="M15" s="144"/>
      <c r="N15" s="144"/>
      <c r="O15" s="144"/>
      <c r="P15" s="289" t="str">
        <f>IF(ISBLANK('Company owned Transport'!E20),"",Results!L15+Results!M15*25+Results!N15*298)</f>
        <v/>
      </c>
      <c r="Q15" s="144"/>
      <c r="R15" s="289" t="str">
        <f>IF(ISBLANK('General Information'!H26),"",'General Information'!B26)</f>
        <v/>
      </c>
      <c r="S15" s="289" t="str">
        <f>IF(ISBLANK('General Information'!H26),"",'General Information'!C26)</f>
        <v/>
      </c>
      <c r="T15" s="289" t="str">
        <f>IF(ISBLANK('General Information'!$H26),"",'General Information'!$H26*41*(Data!U$18+Data!U$19)/1000)</f>
        <v/>
      </c>
      <c r="U15" s="289" t="str">
        <f>IF(ISBLANK('General Information'!$H26),"",'General Information'!$H26*41*(Data!V$18+Data!V$19)/1000)</f>
        <v/>
      </c>
      <c r="V15" s="289" t="str">
        <f>IF(ISBLANK('General Information'!$H26),"",'General Information'!$H26*41*(Data!W$18+Data!W$19)/1000)</f>
        <v/>
      </c>
      <c r="W15" s="144"/>
      <c r="X15" s="289" t="str">
        <f>IF(ISBLANK('General Information'!$H26),"",Results!T15+25*Results!U15+298*Results!V15)</f>
        <v/>
      </c>
      <c r="Y15" s="144"/>
      <c r="Z15" s="289" t="str">
        <f>IF(ISBLANK('Purchased Gases &amp; Refrigerants'!$C23),"",'Purchased Gases &amp; Refrigerants'!B23)</f>
        <v/>
      </c>
      <c r="AA15" s="289" t="str">
        <f>IF(ISBLANK('Purchased Gases &amp; Refrigerants'!$C23),"",'Purchased Gases &amp; Refrigerants'!C23)</f>
        <v/>
      </c>
      <c r="AB15" s="144"/>
      <c r="AC15" s="289" t="str">
        <f>IF(ISBLANK('Purchased Gases &amp; Refrigerants'!$E23),"",_xlfn.XLOOKUP('Purchased Gases &amp; Refrigerants'!D23,Data!$AU$6:$AU$37,Data!$AV$6:$AV$37,0)*'Purchased Gases &amp; Refrigerants'!$E23*0.0004536)</f>
        <v/>
      </c>
      <c r="AD15" s="144"/>
      <c r="AE15" s="289" t="str">
        <f>IF(ISBLANK('Purchased Gases &amp; Refrigerants'!$C23),"",'Purchased Gases &amp; Refrigerants'!B23)</f>
        <v/>
      </c>
      <c r="AF15" s="289" t="str">
        <f>IF(ISBLANK('Purchased Gases &amp; Refrigerants'!$C23),"",'Purchased Gases &amp; Refrigerants'!C23)</f>
        <v/>
      </c>
      <c r="AG15" s="144"/>
      <c r="AH15" s="289" t="str">
        <f>IF(ISBLANK('Purchased Gases &amp; Refrigerants'!E23),"",_xlfn.XLOOKUP('Purchased Gases &amp; Refrigerants'!D23,Data!$AU$38:$AU$40,Data!$AV$38:$AV$40,0)*'Purchased Gases &amp; Refrigerants'!E23*0.4536)</f>
        <v/>
      </c>
      <c r="AI15" s="144"/>
      <c r="AJ15" s="289" t="str">
        <f>IF(ISBLANK('Raw Material Usage'!B20),"",'Raw Material Usage'!B20)</f>
        <v/>
      </c>
      <c r="AK15" s="289" t="str">
        <f>IF(ISBLANK('Raw Material Usage'!C20),"",'Raw Material Usage'!C20)</f>
        <v/>
      </c>
      <c r="AL15" s="144"/>
      <c r="AM15" s="289" t="str">
        <f ca="1">IF(ISBLANK('Raw Material Usage'!E20),"",OFFSET('Raw Material Calculation'!$J$11,16*1,0)/1000)</f>
        <v/>
      </c>
      <c r="AN15" s="144"/>
      <c r="AO15" s="289" t="str">
        <f>IF(ISBLANK('Raw Material Usage'!B20),"",'Raw Material Usage'!B20)</f>
        <v/>
      </c>
      <c r="AP15" s="289" t="str">
        <f>IF(ISBLANK('Raw Material Usage'!C20),"",'Raw Material Usage'!C20)</f>
        <v/>
      </c>
      <c r="AQ15" s="144"/>
      <c r="AR15" s="289" t="str">
        <f>IF(ISBLANK('Raw Material Usage'!E20),"",_xlfn.XLOOKUP('Raw Material Usage'!D20,Data!$BL$6:$BL$30,Data!$BM$6:$BM$30,0)*'Raw Material Usage'!E20/1.102)</f>
        <v/>
      </c>
      <c r="AT15" s="289" t="str">
        <f>IF(ISBLANK('Waste Disposal'!B20),"",'Waste Disposal'!B20)</f>
        <v/>
      </c>
      <c r="AU15" s="289" t="str">
        <f>IF(ISBLANK('Waste Disposal'!C20),"",'Waste Disposal'!C20)</f>
        <v/>
      </c>
      <c r="AV15" s="144"/>
      <c r="AW15" s="289" t="str">
        <f>IF(ISBLANK('Waste Disposal'!$F20),"",CHOOSE(MATCH('Waste Disposal'!E20,Data!$AO$5:$AR$5,0),_xlfn.XLOOKUP('Waste Disposal'!$D20,Data!$AN$6:$AN$65,Data!$AO$6:$AO$65),_xlfn.XLOOKUP('Waste Disposal'!$D20,Data!$AN$6:$AN$65,Data!$AP$6:$AP$65),_xlfn.XLOOKUP('Waste Disposal'!$D20,Data!$AN$6:$AN$65,Data!$AQ$6:$AQ$65),_xlfn.XLOOKUP('Waste Disposal'!$D20,Data!$AN$6:$AN$65,Data!$AR$6:$AR$65))*'Waste Disposal'!$F20)</f>
        <v/>
      </c>
      <c r="AX15" s="305"/>
    </row>
    <row r="16" spans="1:50">
      <c r="A16" s="181"/>
      <c r="B16" s="290" t="str">
        <f>IF(ISBLANK('General Information'!C27),"",'General Information'!B27)</f>
        <v/>
      </c>
      <c r="C16" s="290" t="str">
        <f>IF(ISBLANK('General Information'!C27),"",'General Information'!C27)</f>
        <v/>
      </c>
      <c r="D16" s="290" t="str">
        <f>IF(ISBLANK('General Information'!$C27),"",'General Information'!$E27*_xlfn.XLOOKUP('General Information'!$D27,Data!$Z$7:$Z$33,Data!AC$7:AC$33)*0.0004536)</f>
        <v/>
      </c>
      <c r="E16" s="290" t="str">
        <f>IF(ISBLANK('General Information'!$C27),"",'General Information'!$E27*_xlfn.XLOOKUP('General Information'!$D27,Data!$Z$7:$Z$33,Data!AD$7:AD$33)*0.0004536)</f>
        <v/>
      </c>
      <c r="F16" s="290" t="str">
        <f>IF(ISBLANK('General Information'!$C27),"",'General Information'!$E27*_xlfn.XLOOKUP('General Information'!$D27,Data!$Z$7:$Z$33,Data!AE$7:AE$33)*0.0004536)</f>
        <v/>
      </c>
      <c r="G16" s="144"/>
      <c r="H16" s="290" t="str">
        <f>IF(ISBLANK('General Information'!C27),"",Results!D16+25*Results!E16+298*Results!F16)</f>
        <v/>
      </c>
      <c r="I16" s="144"/>
      <c r="J16" s="290" t="str">
        <f>IF(ISBLANK('Company owned Transport'!B21),"",'Company owned Transport'!B21)</f>
        <v/>
      </c>
      <c r="K16" s="294" t="str">
        <f>IF(ISBLANK('Company owned Transport'!C21),"",'Company owned Transport'!C21)</f>
        <v/>
      </c>
      <c r="L16" s="290" t="str">
        <f>IF(ISBLANK('Company owned Transport'!E21),"",_xlfn.XLOOKUP('Company owned Transport'!$D21,Data!$K$6:$K$15,Data!L$6:L$15,"")*'Company owned Transport'!$E21/1000)</f>
        <v/>
      </c>
      <c r="M16" s="144"/>
      <c r="N16" s="144"/>
      <c r="O16" s="144"/>
      <c r="P16" s="290" t="str">
        <f>IF(ISBLANK('Company owned Transport'!E21),"",Results!L16+Results!M16*25+Results!N16*298)</f>
        <v/>
      </c>
      <c r="Q16" s="144"/>
      <c r="R16" s="290" t="str">
        <f>IF(ISBLANK('General Information'!H27),"",'General Information'!B27)</f>
        <v/>
      </c>
      <c r="S16" s="290" t="str">
        <f>IF(ISBLANK('General Information'!H27),"",'General Information'!C27)</f>
        <v/>
      </c>
      <c r="T16" s="290" t="str">
        <f>IF(ISBLANK('General Information'!$H27),"",'General Information'!$H27*41*(Data!U$18+Data!U$19)/1000)</f>
        <v/>
      </c>
      <c r="U16" s="290" t="str">
        <f>IF(ISBLANK('General Information'!$H27),"",'General Information'!$H27*41*(Data!V$18+Data!V$19)/1000)</f>
        <v/>
      </c>
      <c r="V16" s="290" t="str">
        <f>IF(ISBLANK('General Information'!$H27),"",'General Information'!$H27*41*(Data!W$18+Data!W$19)/1000)</f>
        <v/>
      </c>
      <c r="W16" s="144"/>
      <c r="X16" s="290" t="str">
        <f>IF(ISBLANK('General Information'!$H27),"",Results!T16+25*Results!U16+298*Results!V16)</f>
        <v/>
      </c>
      <c r="Y16" s="144"/>
      <c r="Z16" s="290" t="str">
        <f>IF(ISBLANK('Purchased Gases &amp; Refrigerants'!$C24),"",'Purchased Gases &amp; Refrigerants'!B24)</f>
        <v/>
      </c>
      <c r="AA16" s="290" t="str">
        <f>IF(ISBLANK('Purchased Gases &amp; Refrigerants'!$C24),"",'Purchased Gases &amp; Refrigerants'!C24)</f>
        <v/>
      </c>
      <c r="AB16" s="144"/>
      <c r="AC16" s="290" t="str">
        <f>IF(ISBLANK('Purchased Gases &amp; Refrigerants'!$E24),"",_xlfn.XLOOKUP('Purchased Gases &amp; Refrigerants'!D24,Data!$AU$6:$AU$37,Data!$AV$6:$AV$37,0)*'Purchased Gases &amp; Refrigerants'!$E24*0.0004536)</f>
        <v/>
      </c>
      <c r="AD16" s="144"/>
      <c r="AE16" s="290" t="str">
        <f>IF(ISBLANK('Purchased Gases &amp; Refrigerants'!$C24),"",'Purchased Gases &amp; Refrigerants'!B24)</f>
        <v/>
      </c>
      <c r="AF16" s="290" t="str">
        <f>IF(ISBLANK('Purchased Gases &amp; Refrigerants'!$C24),"",'Purchased Gases &amp; Refrigerants'!C24)</f>
        <v/>
      </c>
      <c r="AG16" s="144"/>
      <c r="AH16" s="290" t="str">
        <f>IF(ISBLANK('Purchased Gases &amp; Refrigerants'!E24),"",_xlfn.XLOOKUP('Purchased Gases &amp; Refrigerants'!D24,Data!$AU$38:$AU$40,Data!$AV$38:$AV$40,0)*'Purchased Gases &amp; Refrigerants'!E24*0.4536)</f>
        <v/>
      </c>
      <c r="AI16" s="144"/>
      <c r="AJ16" s="290" t="str">
        <f>IF(ISBLANK('Raw Material Usage'!B21),"",'Raw Material Usage'!B21)</f>
        <v/>
      </c>
      <c r="AK16" s="290" t="str">
        <f>IF(ISBLANK('Raw Material Usage'!C21),"",'Raw Material Usage'!C21)</f>
        <v/>
      </c>
      <c r="AL16" s="144"/>
      <c r="AM16" s="290" t="str">
        <f ca="1">IF(ISBLANK('Raw Material Usage'!E21),"",OFFSET('Raw Material Calculation'!$J$11,16*1,0)/1000)</f>
        <v/>
      </c>
      <c r="AN16" s="144"/>
      <c r="AO16" s="290" t="str">
        <f>IF(ISBLANK('Raw Material Usage'!B21),"",'Raw Material Usage'!B21)</f>
        <v/>
      </c>
      <c r="AP16" s="290" t="str">
        <f>IF(ISBLANK('Raw Material Usage'!C21),"",'Raw Material Usage'!C21)</f>
        <v/>
      </c>
      <c r="AQ16" s="144"/>
      <c r="AR16" s="290" t="str">
        <f>IF(ISBLANK('Raw Material Usage'!E21),"",_xlfn.XLOOKUP('Raw Material Usage'!D21,Data!$BL$6:$BL$30,Data!$BM$6:$BM$30,0)*'Raw Material Usage'!E21/1.102)</f>
        <v/>
      </c>
      <c r="AT16" s="290" t="str">
        <f>IF(ISBLANK('Waste Disposal'!B21),"",'Waste Disposal'!B21)</f>
        <v/>
      </c>
      <c r="AU16" s="290" t="str">
        <f>IF(ISBLANK('Waste Disposal'!C21),"",'Waste Disposal'!C21)</f>
        <v/>
      </c>
      <c r="AV16" s="144"/>
      <c r="AW16" s="290" t="str">
        <f>IF(ISBLANK('Waste Disposal'!$F21),"",CHOOSE(MATCH('Waste Disposal'!E21,Data!$AO$5:$AR$5,0),_xlfn.XLOOKUP('Waste Disposal'!$D21,Data!$AN$6:$AN$65,Data!$AO$6:$AO$65),_xlfn.XLOOKUP('Waste Disposal'!$D21,Data!$AN$6:$AN$65,Data!$AP$6:$AP$65),_xlfn.XLOOKUP('Waste Disposal'!$D21,Data!$AN$6:$AN$65,Data!$AQ$6:$AQ$65),_xlfn.XLOOKUP('Waste Disposal'!$D21,Data!$AN$6:$AN$65,Data!$AR$6:$AR$65))*'Waste Disposal'!$F21)</f>
        <v/>
      </c>
      <c r="AX16" s="305"/>
    </row>
    <row r="17" spans="1:50">
      <c r="A17" s="181"/>
      <c r="B17" s="289" t="str">
        <f>IF(ISBLANK('General Information'!C28),"",'General Information'!B28)</f>
        <v/>
      </c>
      <c r="C17" s="289" t="str">
        <f>IF(ISBLANK('General Information'!C28),"",'General Information'!C28)</f>
        <v/>
      </c>
      <c r="D17" s="289" t="str">
        <f>IF(ISBLANK('General Information'!$C28),"",'General Information'!$E28*_xlfn.XLOOKUP('General Information'!$D28,Data!$Z$7:$Z$33,Data!AC$7:AC$33)*0.0004536)</f>
        <v/>
      </c>
      <c r="E17" s="289" t="str">
        <f>IF(ISBLANK('General Information'!$C28),"",'General Information'!$E28*_xlfn.XLOOKUP('General Information'!$D28,Data!$Z$7:$Z$33,Data!AD$7:AD$33)*0.0004536)</f>
        <v/>
      </c>
      <c r="F17" s="289" t="str">
        <f>IF(ISBLANK('General Information'!$C28),"",'General Information'!$E28*_xlfn.XLOOKUP('General Information'!$D28,Data!$Z$7:$Z$33,Data!AE$7:AE$33)*0.0004536)</f>
        <v/>
      </c>
      <c r="G17" s="144"/>
      <c r="H17" s="289" t="str">
        <f>IF(ISBLANK('General Information'!C28),"",Results!D17+25*Results!E17+298*Results!F17)</f>
        <v/>
      </c>
      <c r="I17" s="144"/>
      <c r="J17" s="289" t="str">
        <f>IF(ISBLANK('Company owned Transport'!B22),"",'Company owned Transport'!B22)</f>
        <v/>
      </c>
      <c r="K17" s="292" t="str">
        <f>IF(ISBLANK('Company owned Transport'!C22),"",'Company owned Transport'!C22)</f>
        <v/>
      </c>
      <c r="L17" s="289" t="str">
        <f>IF(ISBLANK('Company owned Transport'!E22),"",_xlfn.XLOOKUP('Company owned Transport'!$D22,Data!$K$6:$K$15,Data!L$6:L$15,"")*'Company owned Transport'!$E22/1000)</f>
        <v/>
      </c>
      <c r="M17" s="144"/>
      <c r="N17" s="144"/>
      <c r="O17" s="144"/>
      <c r="P17" s="289" t="str">
        <f>IF(ISBLANK('Company owned Transport'!E22),"",Results!L17+Results!M17*25+Results!N17*298)</f>
        <v/>
      </c>
      <c r="Q17" s="144"/>
      <c r="R17" s="289" t="str">
        <f>IF(ISBLANK('General Information'!H28),"",'General Information'!B28)</f>
        <v/>
      </c>
      <c r="S17" s="289" t="str">
        <f>IF(ISBLANK('General Information'!H28),"",'General Information'!C28)</f>
        <v/>
      </c>
      <c r="T17" s="289" t="str">
        <f>IF(ISBLANK('General Information'!$H28),"",'General Information'!$H28*41*(Data!U$18+Data!U$19)/1000)</f>
        <v/>
      </c>
      <c r="U17" s="289" t="str">
        <f>IF(ISBLANK('General Information'!$H28),"",'General Information'!$H28*41*(Data!V$18+Data!V$19)/1000)</f>
        <v/>
      </c>
      <c r="V17" s="289" t="str">
        <f>IF(ISBLANK('General Information'!$H28),"",'General Information'!$H28*41*(Data!W$18+Data!W$19)/1000)</f>
        <v/>
      </c>
      <c r="W17" s="144"/>
      <c r="X17" s="289" t="str">
        <f>IF(ISBLANK('General Information'!$H28),"",Results!T17+25*Results!U17+298*Results!V17)</f>
        <v/>
      </c>
      <c r="Y17" s="144"/>
      <c r="Z17" s="289" t="str">
        <f>IF(ISBLANK('Purchased Gases &amp; Refrigerants'!$C25),"",'Purchased Gases &amp; Refrigerants'!B25)</f>
        <v/>
      </c>
      <c r="AA17" s="289" t="str">
        <f>IF(ISBLANK('Purchased Gases &amp; Refrigerants'!$C25),"",'Purchased Gases &amp; Refrigerants'!C25)</f>
        <v/>
      </c>
      <c r="AB17" s="144"/>
      <c r="AC17" s="289" t="str">
        <f>IF(ISBLANK('Purchased Gases &amp; Refrigerants'!$E25),"",_xlfn.XLOOKUP('Purchased Gases &amp; Refrigerants'!D25,Data!$AU$6:$AU$37,Data!$AV$6:$AV$37,0)*'Purchased Gases &amp; Refrigerants'!$E25*0.0004536)</f>
        <v/>
      </c>
      <c r="AD17" s="144"/>
      <c r="AE17" s="289" t="str">
        <f>IF(ISBLANK('Purchased Gases &amp; Refrigerants'!$C25),"",'Purchased Gases &amp; Refrigerants'!B25)</f>
        <v/>
      </c>
      <c r="AF17" s="289" t="str">
        <f>IF(ISBLANK('Purchased Gases &amp; Refrigerants'!$C25),"",'Purchased Gases &amp; Refrigerants'!C25)</f>
        <v/>
      </c>
      <c r="AG17" s="144"/>
      <c r="AH17" s="289" t="str">
        <f>IF(ISBLANK('Purchased Gases &amp; Refrigerants'!E25),"",_xlfn.XLOOKUP('Purchased Gases &amp; Refrigerants'!D25,Data!$AU$38:$AU$40,Data!$AV$38:$AV$40,0)*'Purchased Gases &amp; Refrigerants'!E25*0.4536)</f>
        <v/>
      </c>
      <c r="AI17" s="144"/>
      <c r="AJ17" s="289" t="str">
        <f>IF(ISBLANK('Raw Material Usage'!B22),"",'Raw Material Usage'!B22)</f>
        <v/>
      </c>
      <c r="AK17" s="289" t="str">
        <f>IF(ISBLANK('Raw Material Usage'!C22),"",'Raw Material Usage'!C22)</f>
        <v/>
      </c>
      <c r="AL17" s="144"/>
      <c r="AM17" s="289" t="str">
        <f ca="1">IF(ISBLANK('Raw Material Usage'!E22),"",OFFSET('Raw Material Calculation'!$J$11,16*1,0)/1000)</f>
        <v/>
      </c>
      <c r="AN17" s="144"/>
      <c r="AO17" s="289" t="str">
        <f>IF(ISBLANK('Raw Material Usage'!B22),"",'Raw Material Usage'!B22)</f>
        <v/>
      </c>
      <c r="AP17" s="289" t="str">
        <f>IF(ISBLANK('Raw Material Usage'!C22),"",'Raw Material Usage'!C22)</f>
        <v/>
      </c>
      <c r="AQ17" s="144"/>
      <c r="AR17" s="289" t="str">
        <f>IF(ISBLANK('Raw Material Usage'!E22),"",_xlfn.XLOOKUP('Raw Material Usage'!D22,Data!$BL$6:$BL$30,Data!$BM$6:$BM$30,0)*'Raw Material Usage'!E22/1.102)</f>
        <v/>
      </c>
      <c r="AT17" s="289" t="str">
        <f>IF(ISBLANK('Waste Disposal'!B22),"",'Waste Disposal'!B22)</f>
        <v/>
      </c>
      <c r="AU17" s="289" t="str">
        <f>IF(ISBLANK('Waste Disposal'!C22),"",'Waste Disposal'!C22)</f>
        <v/>
      </c>
      <c r="AV17" s="144"/>
      <c r="AW17" s="289" t="str">
        <f>IF(ISBLANK('Waste Disposal'!$F22),"",CHOOSE(MATCH('Waste Disposal'!E22,Data!$AO$5:$AR$5,0),_xlfn.XLOOKUP('Waste Disposal'!$D22,Data!$AN$6:$AN$65,Data!$AO$6:$AO$65),_xlfn.XLOOKUP('Waste Disposal'!$D22,Data!$AN$6:$AN$65,Data!$AP$6:$AP$65),_xlfn.XLOOKUP('Waste Disposal'!$D22,Data!$AN$6:$AN$65,Data!$AQ$6:$AQ$65),_xlfn.XLOOKUP('Waste Disposal'!$D22,Data!$AN$6:$AN$65,Data!$AR$6:$AR$65))*'Waste Disposal'!$F22)</f>
        <v/>
      </c>
      <c r="AX17" s="305"/>
    </row>
    <row r="18" spans="1:50">
      <c r="A18" s="181"/>
      <c r="B18" s="290" t="str">
        <f>IF(ISBLANK('General Information'!C29),"",'General Information'!B29)</f>
        <v/>
      </c>
      <c r="C18" s="290" t="str">
        <f>IF(ISBLANK('General Information'!C29),"",'General Information'!C29)</f>
        <v/>
      </c>
      <c r="D18" s="290" t="str">
        <f>IF(ISBLANK('General Information'!$C29),"",'General Information'!$E29*_xlfn.XLOOKUP('General Information'!$D29,Data!$Z$7:$Z$33,Data!AC$7:AC$33)*0.0004536)</f>
        <v/>
      </c>
      <c r="E18" s="290" t="str">
        <f>IF(ISBLANK('General Information'!$C29),"",'General Information'!$E29*_xlfn.XLOOKUP('General Information'!$D29,Data!$Z$7:$Z$33,Data!AD$7:AD$33)*0.0004536)</f>
        <v/>
      </c>
      <c r="F18" s="290" t="str">
        <f>IF(ISBLANK('General Information'!$C29),"",'General Information'!$E29*_xlfn.XLOOKUP('General Information'!$D29,Data!$Z$7:$Z$33,Data!AE$7:AE$33)*0.0004536)</f>
        <v/>
      </c>
      <c r="G18" s="144"/>
      <c r="H18" s="290" t="str">
        <f>IF(ISBLANK('General Information'!C29),"",Results!D18+25*Results!E18+298*Results!F18)</f>
        <v/>
      </c>
      <c r="I18" s="144"/>
      <c r="J18" s="290" t="str">
        <f>IF(ISBLANK('Company owned Transport'!B23),"",'Company owned Transport'!B23)</f>
        <v/>
      </c>
      <c r="K18" s="294" t="str">
        <f>IF(ISBLANK('Company owned Transport'!C23),"",'Company owned Transport'!C23)</f>
        <v/>
      </c>
      <c r="L18" s="290" t="str">
        <f>IF(ISBLANK('Company owned Transport'!E23),"",_xlfn.XLOOKUP('Company owned Transport'!$D23,Data!$K$6:$K$15,Data!L$6:L$15,"")*'Company owned Transport'!$E23/1000)</f>
        <v/>
      </c>
      <c r="M18" s="144"/>
      <c r="N18" s="144"/>
      <c r="O18" s="144"/>
      <c r="P18" s="290" t="str">
        <f>IF(ISBLANK('Company owned Transport'!E23),"",Results!L18+Results!M18*25+Results!N18*298)</f>
        <v/>
      </c>
      <c r="Q18" s="144"/>
      <c r="R18" s="290" t="str">
        <f>IF(ISBLANK('General Information'!H29),"",'General Information'!B29)</f>
        <v/>
      </c>
      <c r="S18" s="290" t="str">
        <f>IF(ISBLANK('General Information'!H29),"",'General Information'!C29)</f>
        <v/>
      </c>
      <c r="T18" s="290" t="str">
        <f>IF(ISBLANK('General Information'!$H29),"",'General Information'!$H29*41*(Data!U$18+Data!U$19)/1000)</f>
        <v/>
      </c>
      <c r="U18" s="290" t="str">
        <f>IF(ISBLANK('General Information'!$H29),"",'General Information'!$H29*41*(Data!V$18+Data!V$19)/1000)</f>
        <v/>
      </c>
      <c r="V18" s="290" t="str">
        <f>IF(ISBLANK('General Information'!$H29),"",'General Information'!$H29*41*(Data!W$18+Data!W$19)/1000)</f>
        <v/>
      </c>
      <c r="W18" s="144"/>
      <c r="X18" s="290" t="str">
        <f>IF(ISBLANK('General Information'!$H29),"",Results!T18+25*Results!U18+298*Results!V18)</f>
        <v/>
      </c>
      <c r="Y18" s="144"/>
      <c r="Z18" s="290" t="str">
        <f>IF(ISBLANK('Purchased Gases &amp; Refrigerants'!$C26),"",'Purchased Gases &amp; Refrigerants'!B26)</f>
        <v/>
      </c>
      <c r="AA18" s="290" t="str">
        <f>IF(ISBLANK('Purchased Gases &amp; Refrigerants'!$C26),"",'Purchased Gases &amp; Refrigerants'!C26)</f>
        <v/>
      </c>
      <c r="AB18" s="144"/>
      <c r="AC18" s="290" t="str">
        <f>IF(ISBLANK('Purchased Gases &amp; Refrigerants'!$E26),"",_xlfn.XLOOKUP('Purchased Gases &amp; Refrigerants'!D26,Data!$AU$6:$AU$37,Data!$AV$6:$AV$37,0)*'Purchased Gases &amp; Refrigerants'!$E26*0.0004536)</f>
        <v/>
      </c>
      <c r="AD18" s="144"/>
      <c r="AE18" s="290" t="str">
        <f>IF(ISBLANK('Purchased Gases &amp; Refrigerants'!$C26),"",'Purchased Gases &amp; Refrigerants'!B26)</f>
        <v/>
      </c>
      <c r="AF18" s="290" t="str">
        <f>IF(ISBLANK('Purchased Gases &amp; Refrigerants'!$C26),"",'Purchased Gases &amp; Refrigerants'!C26)</f>
        <v/>
      </c>
      <c r="AG18" s="144"/>
      <c r="AH18" s="290" t="str">
        <f>IF(ISBLANK('Purchased Gases &amp; Refrigerants'!E26),"",_xlfn.XLOOKUP('Purchased Gases &amp; Refrigerants'!D26,Data!$AU$38:$AU$40,Data!$AV$38:$AV$40,0)*'Purchased Gases &amp; Refrigerants'!E26*0.4536)</f>
        <v/>
      </c>
      <c r="AI18" s="144"/>
      <c r="AJ18" s="290" t="str">
        <f>IF(ISBLANK('Raw Material Usage'!B23),"",'Raw Material Usage'!B23)</f>
        <v/>
      </c>
      <c r="AK18" s="290" t="str">
        <f>IF(ISBLANK('Raw Material Usage'!C23),"",'Raw Material Usage'!C23)</f>
        <v/>
      </c>
      <c r="AL18" s="144"/>
      <c r="AM18" s="290" t="str">
        <f ca="1">IF(ISBLANK('Raw Material Usage'!E23),"",OFFSET('Raw Material Calculation'!$J$11,16*1,0)/1000)</f>
        <v/>
      </c>
      <c r="AN18" s="144"/>
      <c r="AO18" s="290" t="str">
        <f>IF(ISBLANK('Raw Material Usage'!B23),"",'Raw Material Usage'!B23)</f>
        <v/>
      </c>
      <c r="AP18" s="290" t="str">
        <f>IF(ISBLANK('Raw Material Usage'!C23),"",'Raw Material Usage'!C23)</f>
        <v/>
      </c>
      <c r="AQ18" s="144"/>
      <c r="AR18" s="290" t="str">
        <f>IF(ISBLANK('Raw Material Usage'!E23),"",_xlfn.XLOOKUP('Raw Material Usage'!D23,Data!$BL$6:$BL$30,Data!$BM$6:$BM$30,0)*'Raw Material Usage'!E23/1.102)</f>
        <v/>
      </c>
      <c r="AT18" s="290" t="str">
        <f>IF(ISBLANK('Waste Disposal'!B23),"",'Waste Disposal'!B23)</f>
        <v/>
      </c>
      <c r="AU18" s="290" t="str">
        <f>IF(ISBLANK('Waste Disposal'!C23),"",'Waste Disposal'!C23)</f>
        <v/>
      </c>
      <c r="AV18" s="144"/>
      <c r="AW18" s="290" t="str">
        <f>IF(ISBLANK('Waste Disposal'!$F23),"",CHOOSE(MATCH('Waste Disposal'!E23,Data!$AO$5:$AR$5,0),_xlfn.XLOOKUP('Waste Disposal'!$D23,Data!$AN$6:$AN$65,Data!$AO$6:$AO$65),_xlfn.XLOOKUP('Waste Disposal'!$D23,Data!$AN$6:$AN$65,Data!$AP$6:$AP$65),_xlfn.XLOOKUP('Waste Disposal'!$D23,Data!$AN$6:$AN$65,Data!$AQ$6:$AQ$65),_xlfn.XLOOKUP('Waste Disposal'!$D23,Data!$AN$6:$AN$65,Data!$AR$6:$AR$65))*'Waste Disposal'!$F23)</f>
        <v/>
      </c>
      <c r="AX18" s="305"/>
    </row>
    <row r="19" spans="1:50">
      <c r="A19" s="181"/>
      <c r="B19" s="289" t="str">
        <f>IF(ISBLANK('General Information'!C30),"",'General Information'!B30)</f>
        <v/>
      </c>
      <c r="C19" s="289" t="str">
        <f>IF(ISBLANK('General Information'!C30),"",'General Information'!C30)</f>
        <v/>
      </c>
      <c r="D19" s="289" t="str">
        <f>IF(ISBLANK('General Information'!$C30),"",'General Information'!$E30*_xlfn.XLOOKUP('General Information'!$D30,Data!$Z$7:$Z$33,Data!AC$7:AC$33)*0.0004536)</f>
        <v/>
      </c>
      <c r="E19" s="289" t="str">
        <f>IF(ISBLANK('General Information'!$C30),"",'General Information'!$E30*_xlfn.XLOOKUP('General Information'!$D30,Data!$Z$7:$Z$33,Data!AD$7:AD$33)*0.0004536)</f>
        <v/>
      </c>
      <c r="F19" s="289" t="str">
        <f>IF(ISBLANK('General Information'!$C30),"",'General Information'!$E30*_xlfn.XLOOKUP('General Information'!$D30,Data!$Z$7:$Z$33,Data!AE$7:AE$33)*0.0004536)</f>
        <v/>
      </c>
      <c r="G19" s="144"/>
      <c r="H19" s="289" t="str">
        <f>IF(ISBLANK('General Information'!C30),"",Results!D19+25*Results!E19+298*Results!F19)</f>
        <v/>
      </c>
      <c r="I19" s="144"/>
      <c r="J19" s="289" t="str">
        <f>IF(ISBLANK('Company owned Transport'!B24),"",'Company owned Transport'!B24)</f>
        <v/>
      </c>
      <c r="K19" s="292" t="str">
        <f>IF(ISBLANK('Company owned Transport'!C24),"",'Company owned Transport'!C24)</f>
        <v/>
      </c>
      <c r="L19" s="289" t="str">
        <f>IF(ISBLANK('Company owned Transport'!E24),"",_xlfn.XLOOKUP('Company owned Transport'!$D24,Data!$K$6:$K$15,Data!L$6:L$15,"")*'Company owned Transport'!$E24/1000)</f>
        <v/>
      </c>
      <c r="M19" s="144"/>
      <c r="N19" s="144"/>
      <c r="O19" s="144"/>
      <c r="P19" s="289" t="str">
        <f>IF(ISBLANK('Company owned Transport'!E24),"",Results!L19+Results!M19*25+Results!N19*298)</f>
        <v/>
      </c>
      <c r="Q19" s="144"/>
      <c r="R19" s="289" t="str">
        <f>IF(ISBLANK('General Information'!H30),"",'General Information'!B30)</f>
        <v/>
      </c>
      <c r="S19" s="289" t="str">
        <f>IF(ISBLANK('General Information'!H30),"",'General Information'!C30)</f>
        <v/>
      </c>
      <c r="T19" s="289" t="str">
        <f>IF(ISBLANK('General Information'!$H30),"",'General Information'!$H30*41*(Data!U$18+Data!U$19)/1000)</f>
        <v/>
      </c>
      <c r="U19" s="289" t="str">
        <f>IF(ISBLANK('General Information'!$H30),"",'General Information'!$H30*41*(Data!V$18+Data!V$19)/1000)</f>
        <v/>
      </c>
      <c r="V19" s="289" t="str">
        <f>IF(ISBLANK('General Information'!$H30),"",'General Information'!$H30*41*(Data!W$18+Data!W$19)/1000)</f>
        <v/>
      </c>
      <c r="W19" s="144"/>
      <c r="X19" s="289" t="str">
        <f>IF(ISBLANK('General Information'!$H30),"",Results!T19+25*Results!U19+298*Results!V19)</f>
        <v/>
      </c>
      <c r="Y19" s="144"/>
      <c r="Z19" s="289" t="str">
        <f>IF(ISBLANK('Purchased Gases &amp; Refrigerants'!$C27),"",'Purchased Gases &amp; Refrigerants'!B27)</f>
        <v/>
      </c>
      <c r="AA19" s="289" t="str">
        <f>IF(ISBLANK('Purchased Gases &amp; Refrigerants'!$C27),"",'Purchased Gases &amp; Refrigerants'!C27)</f>
        <v/>
      </c>
      <c r="AB19" s="144"/>
      <c r="AC19" s="289" t="str">
        <f>IF(ISBLANK('Purchased Gases &amp; Refrigerants'!$E27),"",_xlfn.XLOOKUP('Purchased Gases &amp; Refrigerants'!D27,Data!$AU$6:$AU$37,Data!$AV$6:$AV$37,0)*'Purchased Gases &amp; Refrigerants'!$E27*0.0004536)</f>
        <v/>
      </c>
      <c r="AD19" s="144"/>
      <c r="AE19" s="289" t="str">
        <f>IF(ISBLANK('Purchased Gases &amp; Refrigerants'!$C27),"",'Purchased Gases &amp; Refrigerants'!B27)</f>
        <v/>
      </c>
      <c r="AF19" s="289" t="str">
        <f>IF(ISBLANK('Purchased Gases &amp; Refrigerants'!$C27),"",'Purchased Gases &amp; Refrigerants'!C27)</f>
        <v/>
      </c>
      <c r="AG19" s="144"/>
      <c r="AH19" s="289" t="str">
        <f>IF(ISBLANK('Purchased Gases &amp; Refrigerants'!E27),"",_xlfn.XLOOKUP('Purchased Gases &amp; Refrigerants'!D27,Data!$AU$38:$AU$40,Data!$AV$38:$AV$40,0)*'Purchased Gases &amp; Refrigerants'!E27*0.4536)</f>
        <v/>
      </c>
      <c r="AI19" s="144"/>
      <c r="AJ19" s="289" t="str">
        <f>IF(ISBLANK('Raw Material Usage'!B24),"",'Raw Material Usage'!B24)</f>
        <v/>
      </c>
      <c r="AK19" s="289" t="str">
        <f>IF(ISBLANK('Raw Material Usage'!C24),"",'Raw Material Usage'!C24)</f>
        <v/>
      </c>
      <c r="AL19" s="144"/>
      <c r="AM19" s="289" t="str">
        <f ca="1">IF(ISBLANK('Raw Material Usage'!E24),"",OFFSET('Raw Material Calculation'!$J$11,16*1,0)/1000)</f>
        <v/>
      </c>
      <c r="AN19" s="144"/>
      <c r="AO19" s="289" t="str">
        <f>IF(ISBLANK('Raw Material Usage'!B24),"",'Raw Material Usage'!B24)</f>
        <v/>
      </c>
      <c r="AP19" s="289" t="str">
        <f>IF(ISBLANK('Raw Material Usage'!C24),"",'Raw Material Usage'!C24)</f>
        <v/>
      </c>
      <c r="AQ19" s="144"/>
      <c r="AR19" s="289" t="str">
        <f>IF(ISBLANK('Raw Material Usage'!E24),"",_xlfn.XLOOKUP('Raw Material Usage'!D24,Data!$BL$6:$BL$30,Data!$BM$6:$BM$30,0)*'Raw Material Usage'!E24/1.102)</f>
        <v/>
      </c>
      <c r="AT19" s="289" t="str">
        <f>IF(ISBLANK('Waste Disposal'!B24),"",'Waste Disposal'!B24)</f>
        <v/>
      </c>
      <c r="AU19" s="289" t="str">
        <f>IF(ISBLANK('Waste Disposal'!C24),"",'Waste Disposal'!C24)</f>
        <v/>
      </c>
      <c r="AV19" s="144"/>
      <c r="AW19" s="289" t="str">
        <f>IF(ISBLANK('Waste Disposal'!$F24),"",CHOOSE(MATCH('Waste Disposal'!E24,Data!$AO$5:$AR$5,0),_xlfn.XLOOKUP('Waste Disposal'!$D24,Data!$AN$6:$AN$65,Data!$AO$6:$AO$65),_xlfn.XLOOKUP('Waste Disposal'!$D24,Data!$AN$6:$AN$65,Data!$AP$6:$AP$65),_xlfn.XLOOKUP('Waste Disposal'!$D24,Data!$AN$6:$AN$65,Data!$AQ$6:$AQ$65),_xlfn.XLOOKUP('Waste Disposal'!$D24,Data!$AN$6:$AN$65,Data!$AR$6:$AR$65))*'Waste Disposal'!$F24)</f>
        <v/>
      </c>
      <c r="AX19" s="305"/>
    </row>
    <row r="20" spans="1:50">
      <c r="A20" s="181"/>
      <c r="B20" s="290" t="str">
        <f>IF(ISBLANK('General Information'!C31),"",'General Information'!B31)</f>
        <v/>
      </c>
      <c r="C20" s="290" t="str">
        <f>IF(ISBLANK('General Information'!C31),"",'General Information'!C31)</f>
        <v/>
      </c>
      <c r="D20" s="290" t="str">
        <f>IF(ISBLANK('General Information'!$C31),"",'General Information'!$E31*_xlfn.XLOOKUP('General Information'!$D31,Data!$Z$7:$Z$33,Data!AC$7:AC$33)*0.0004536)</f>
        <v/>
      </c>
      <c r="E20" s="290" t="str">
        <f>IF(ISBLANK('General Information'!$C31),"",'General Information'!$E31*_xlfn.XLOOKUP('General Information'!$D31,Data!$Z$7:$Z$33,Data!AD$7:AD$33)*0.0004536)</f>
        <v/>
      </c>
      <c r="F20" s="290" t="str">
        <f>IF(ISBLANK('General Information'!$C31),"",'General Information'!$E31*_xlfn.XLOOKUP('General Information'!$D31,Data!$Z$7:$Z$33,Data!AE$7:AE$33)*0.0004536)</f>
        <v/>
      </c>
      <c r="G20" s="144"/>
      <c r="H20" s="290" t="str">
        <f>IF(ISBLANK('General Information'!C31),"",Results!D20+25*Results!E20+298*Results!F20)</f>
        <v/>
      </c>
      <c r="I20" s="144"/>
      <c r="J20" s="290" t="str">
        <f>IF(ISBLANK('Company owned Transport'!B25),"",'Company owned Transport'!B25)</f>
        <v/>
      </c>
      <c r="K20" s="294" t="str">
        <f>IF(ISBLANK('Company owned Transport'!C25),"",'Company owned Transport'!C25)</f>
        <v/>
      </c>
      <c r="L20" s="290" t="str">
        <f>IF(ISBLANK('Company owned Transport'!E25),"",_xlfn.XLOOKUP('Company owned Transport'!$D25,Data!$K$6:$K$15,Data!L$6:L$15,"")*'Company owned Transport'!$E25/1000)</f>
        <v/>
      </c>
      <c r="M20" s="144"/>
      <c r="N20" s="144"/>
      <c r="O20" s="144"/>
      <c r="P20" s="290" t="str">
        <f>IF(ISBLANK('Company owned Transport'!E25),"",Results!L20+Results!M20*25+Results!N20*298)</f>
        <v/>
      </c>
      <c r="Q20" s="144"/>
      <c r="R20" s="290" t="str">
        <f>IF(ISBLANK('General Information'!H31),"",'General Information'!B31)</f>
        <v/>
      </c>
      <c r="S20" s="290" t="str">
        <f>IF(ISBLANK('General Information'!H31),"",'General Information'!C31)</f>
        <v/>
      </c>
      <c r="T20" s="290" t="str">
        <f>IF(ISBLANK('General Information'!$H31),"",'General Information'!$H31*41*(Data!U$18+Data!U$19)/1000)</f>
        <v/>
      </c>
      <c r="U20" s="290" t="str">
        <f>IF(ISBLANK('General Information'!$H31),"",'General Information'!$H31*41*(Data!V$18+Data!V$19)/1000)</f>
        <v/>
      </c>
      <c r="V20" s="290" t="str">
        <f>IF(ISBLANK('General Information'!$H31),"",'General Information'!$H31*41*(Data!W$18+Data!W$19)/1000)</f>
        <v/>
      </c>
      <c r="W20" s="144"/>
      <c r="X20" s="290" t="str">
        <f>IF(ISBLANK('General Information'!$H31),"",Results!T20+25*Results!U20+298*Results!V20)</f>
        <v/>
      </c>
      <c r="Y20" s="144"/>
      <c r="Z20" s="290" t="str">
        <f>IF(ISBLANK('Purchased Gases &amp; Refrigerants'!$C28),"",'Purchased Gases &amp; Refrigerants'!B28)</f>
        <v/>
      </c>
      <c r="AA20" s="290" t="str">
        <f>IF(ISBLANK('Purchased Gases &amp; Refrigerants'!$C28),"",'Purchased Gases &amp; Refrigerants'!C28)</f>
        <v/>
      </c>
      <c r="AB20" s="144"/>
      <c r="AC20" s="290" t="str">
        <f>IF(ISBLANK('Purchased Gases &amp; Refrigerants'!$E28),"",_xlfn.XLOOKUP('Purchased Gases &amp; Refrigerants'!D28,Data!$AU$6:$AU$37,Data!$AV$6:$AV$37,0)*'Purchased Gases &amp; Refrigerants'!$E28*0.0004536)</f>
        <v/>
      </c>
      <c r="AD20" s="144"/>
      <c r="AE20" s="290" t="str">
        <f>IF(ISBLANK('Purchased Gases &amp; Refrigerants'!$C28),"",'Purchased Gases &amp; Refrigerants'!B28)</f>
        <v/>
      </c>
      <c r="AF20" s="290" t="str">
        <f>IF(ISBLANK('Purchased Gases &amp; Refrigerants'!$C28),"",'Purchased Gases &amp; Refrigerants'!C28)</f>
        <v/>
      </c>
      <c r="AG20" s="144"/>
      <c r="AH20" s="290" t="str">
        <f>IF(ISBLANK('Purchased Gases &amp; Refrigerants'!E28),"",_xlfn.XLOOKUP('Purchased Gases &amp; Refrigerants'!D28,Data!$AU$38:$AU$40,Data!$AV$38:$AV$40,0)*'Purchased Gases &amp; Refrigerants'!E28*0.4536)</f>
        <v/>
      </c>
      <c r="AI20" s="144"/>
      <c r="AJ20" s="290" t="str">
        <f>IF(ISBLANK('Raw Material Usage'!B25),"",'Raw Material Usage'!B25)</f>
        <v/>
      </c>
      <c r="AK20" s="290" t="str">
        <f>IF(ISBLANK('Raw Material Usage'!C25),"",'Raw Material Usage'!C25)</f>
        <v/>
      </c>
      <c r="AL20" s="144"/>
      <c r="AM20" s="290" t="str">
        <f ca="1">IF(ISBLANK('Raw Material Usage'!E25),"",OFFSET('Raw Material Calculation'!$J$11,16*1,0)/1000)</f>
        <v/>
      </c>
      <c r="AN20" s="144"/>
      <c r="AO20" s="290" t="str">
        <f>IF(ISBLANK('Raw Material Usage'!B25),"",'Raw Material Usage'!B25)</f>
        <v/>
      </c>
      <c r="AP20" s="290" t="str">
        <f>IF(ISBLANK('Raw Material Usage'!C25),"",'Raw Material Usage'!C25)</f>
        <v/>
      </c>
      <c r="AQ20" s="144"/>
      <c r="AR20" s="290" t="str">
        <f>IF(ISBLANK('Raw Material Usage'!E25),"",_xlfn.XLOOKUP('Raw Material Usage'!D25,Data!$BL$6:$BL$30,Data!$BM$6:$BM$30,0)*'Raw Material Usage'!E25/1.102)</f>
        <v/>
      </c>
      <c r="AT20" s="290" t="str">
        <f>IF(ISBLANK('Waste Disposal'!B25),"",'Waste Disposal'!B25)</f>
        <v/>
      </c>
      <c r="AU20" s="290" t="str">
        <f>IF(ISBLANK('Waste Disposal'!C25),"",'Waste Disposal'!C25)</f>
        <v/>
      </c>
      <c r="AV20" s="144"/>
      <c r="AW20" s="290" t="str">
        <f>IF(ISBLANK('Waste Disposal'!$F25),"",CHOOSE(MATCH('Waste Disposal'!E25,Data!$AO$5:$AR$5,0),_xlfn.XLOOKUP('Waste Disposal'!$D25,Data!$AN$6:$AN$65,Data!$AO$6:$AO$65),_xlfn.XLOOKUP('Waste Disposal'!$D25,Data!$AN$6:$AN$65,Data!$AP$6:$AP$65),_xlfn.XLOOKUP('Waste Disposal'!$D25,Data!$AN$6:$AN$65,Data!$AQ$6:$AQ$65),_xlfn.XLOOKUP('Waste Disposal'!$D25,Data!$AN$6:$AN$65,Data!$AR$6:$AR$65))*'Waste Disposal'!$F25)</f>
        <v/>
      </c>
      <c r="AX20" s="305"/>
    </row>
    <row r="21" spans="1:50">
      <c r="A21" s="181"/>
      <c r="B21" s="289" t="str">
        <f>IF(ISBLANK('General Information'!C32),"",'General Information'!B32)</f>
        <v/>
      </c>
      <c r="C21" s="289" t="str">
        <f>IF(ISBLANK('General Information'!C32),"",'General Information'!C32)</f>
        <v/>
      </c>
      <c r="D21" s="289" t="str">
        <f>IF(ISBLANK('General Information'!$C32),"",'General Information'!$E32*_xlfn.XLOOKUP('General Information'!$D32,Data!$Z$7:$Z$33,Data!AC$7:AC$33)*0.0004536)</f>
        <v/>
      </c>
      <c r="E21" s="289" t="str">
        <f>IF(ISBLANK('General Information'!$C32),"",'General Information'!$E32*_xlfn.XLOOKUP('General Information'!$D32,Data!$Z$7:$Z$33,Data!AD$7:AD$33)*0.0004536)</f>
        <v/>
      </c>
      <c r="F21" s="289" t="str">
        <f>IF(ISBLANK('General Information'!$C32),"",'General Information'!$E32*_xlfn.XLOOKUP('General Information'!$D32,Data!$Z$7:$Z$33,Data!AE$7:AE$33)*0.0004536)</f>
        <v/>
      </c>
      <c r="G21" s="144"/>
      <c r="H21" s="289" t="str">
        <f>IF(ISBLANK('General Information'!C32),"",Results!D21+25*Results!E21+298*Results!F21)</f>
        <v/>
      </c>
      <c r="I21" s="144"/>
      <c r="J21" s="289" t="str">
        <f>IF(ISBLANK('Company owned Transport'!B26),"",'Company owned Transport'!B26)</f>
        <v/>
      </c>
      <c r="K21" s="292" t="str">
        <f>IF(ISBLANK('Company owned Transport'!C26),"",'Company owned Transport'!C26)</f>
        <v/>
      </c>
      <c r="L21" s="289" t="str">
        <f>IF(ISBLANK('Company owned Transport'!E26),"",_xlfn.XLOOKUP('Company owned Transport'!$D26,Data!$K$6:$K$15,Data!L$6:L$15,"")*'Company owned Transport'!$E26/1000)</f>
        <v/>
      </c>
      <c r="M21" s="144"/>
      <c r="N21" s="144"/>
      <c r="O21" s="144"/>
      <c r="P21" s="289" t="str">
        <f>IF(ISBLANK('Company owned Transport'!E26),"",Results!L21+Results!M21*25+Results!N21*298)</f>
        <v/>
      </c>
      <c r="Q21" s="144"/>
      <c r="R21" s="289" t="str">
        <f>IF(ISBLANK('General Information'!H32),"",'General Information'!B32)</f>
        <v/>
      </c>
      <c r="S21" s="289" t="str">
        <f>IF(ISBLANK('General Information'!H32),"",'General Information'!C32)</f>
        <v/>
      </c>
      <c r="T21" s="289" t="str">
        <f>IF(ISBLANK('General Information'!$H32),"",'General Information'!$H32*41*(Data!U$18+Data!U$19)/1000)</f>
        <v/>
      </c>
      <c r="U21" s="289" t="str">
        <f>IF(ISBLANK('General Information'!$H32),"",'General Information'!$H32*41*(Data!V$18+Data!V$19)/1000)</f>
        <v/>
      </c>
      <c r="V21" s="289" t="str">
        <f>IF(ISBLANK('General Information'!$H32),"",'General Information'!$H32*41*(Data!W$18+Data!W$19)/1000)</f>
        <v/>
      </c>
      <c r="W21" s="144"/>
      <c r="X21" s="289" t="str">
        <f>IF(ISBLANK('General Information'!$H32),"",Results!T21+25*Results!U21+298*Results!V21)</f>
        <v/>
      </c>
      <c r="Y21" s="144"/>
      <c r="Z21" s="289" t="str">
        <f>IF(ISBLANK('Purchased Gases &amp; Refrigerants'!$C29),"",'Purchased Gases &amp; Refrigerants'!B29)</f>
        <v/>
      </c>
      <c r="AA21" s="289" t="str">
        <f>IF(ISBLANK('Purchased Gases &amp; Refrigerants'!$C29),"",'Purchased Gases &amp; Refrigerants'!C29)</f>
        <v/>
      </c>
      <c r="AB21" s="144"/>
      <c r="AC21" s="289" t="str">
        <f>IF(ISBLANK('Purchased Gases &amp; Refrigerants'!$E29),"",_xlfn.XLOOKUP('Purchased Gases &amp; Refrigerants'!D29,Data!$AU$6:$AU$37,Data!$AV$6:$AV$37,0)*'Purchased Gases &amp; Refrigerants'!$E29*0.0004536)</f>
        <v/>
      </c>
      <c r="AD21" s="144"/>
      <c r="AE21" s="289" t="str">
        <f>IF(ISBLANK('Purchased Gases &amp; Refrigerants'!$C29),"",'Purchased Gases &amp; Refrigerants'!B29)</f>
        <v/>
      </c>
      <c r="AF21" s="289" t="str">
        <f>IF(ISBLANK('Purchased Gases &amp; Refrigerants'!$C29),"",'Purchased Gases &amp; Refrigerants'!C29)</f>
        <v/>
      </c>
      <c r="AG21" s="144"/>
      <c r="AH21" s="289" t="str">
        <f>IF(ISBLANK('Purchased Gases &amp; Refrigerants'!E29),"",_xlfn.XLOOKUP('Purchased Gases &amp; Refrigerants'!D29,Data!$AU$38:$AU$40,Data!$AV$38:$AV$40,0)*'Purchased Gases &amp; Refrigerants'!E29*0.4536)</f>
        <v/>
      </c>
      <c r="AI21" s="144"/>
      <c r="AJ21" s="289" t="str">
        <f>IF(ISBLANK('Raw Material Usage'!B26),"",'Raw Material Usage'!B26)</f>
        <v/>
      </c>
      <c r="AK21" s="289" t="str">
        <f>IF(ISBLANK('Raw Material Usage'!C26),"",'Raw Material Usage'!C26)</f>
        <v/>
      </c>
      <c r="AL21" s="144"/>
      <c r="AM21" s="289" t="str">
        <f ca="1">IF(ISBLANK('Raw Material Usage'!E26),"",OFFSET('Raw Material Calculation'!$J$11,16*1,0)/1000)</f>
        <v/>
      </c>
      <c r="AN21" s="144"/>
      <c r="AO21" s="289" t="str">
        <f>IF(ISBLANK('Raw Material Usage'!B26),"",'Raw Material Usage'!B26)</f>
        <v/>
      </c>
      <c r="AP21" s="289" t="str">
        <f>IF(ISBLANK('Raw Material Usage'!C26),"",'Raw Material Usage'!C26)</f>
        <v/>
      </c>
      <c r="AQ21" s="144"/>
      <c r="AR21" s="289" t="str">
        <f>IF(ISBLANK('Raw Material Usage'!E26),"",_xlfn.XLOOKUP('Raw Material Usage'!D26,Data!$BL$6:$BL$30,Data!$BM$6:$BM$30,0)*'Raw Material Usage'!E26/1.102)</f>
        <v/>
      </c>
      <c r="AT21" s="289" t="str">
        <f>IF(ISBLANK('Waste Disposal'!B26),"",'Waste Disposal'!B26)</f>
        <v/>
      </c>
      <c r="AU21" s="289" t="str">
        <f>IF(ISBLANK('Waste Disposal'!C26),"",'Waste Disposal'!C26)</f>
        <v/>
      </c>
      <c r="AV21" s="144"/>
      <c r="AW21" s="289" t="str">
        <f>IF(ISBLANK('Waste Disposal'!$F26),"",CHOOSE(MATCH('Waste Disposal'!E26,Data!$AO$5:$AR$5,0),_xlfn.XLOOKUP('Waste Disposal'!$D26,Data!$AN$6:$AN$65,Data!$AO$6:$AO$65),_xlfn.XLOOKUP('Waste Disposal'!$D26,Data!$AN$6:$AN$65,Data!$AP$6:$AP$65),_xlfn.XLOOKUP('Waste Disposal'!$D26,Data!$AN$6:$AN$65,Data!$AQ$6:$AQ$65),_xlfn.XLOOKUP('Waste Disposal'!$D26,Data!$AN$6:$AN$65,Data!$AR$6:$AR$65))*'Waste Disposal'!$F26)</f>
        <v/>
      </c>
      <c r="AX21" s="305"/>
    </row>
    <row r="22" spans="1:50">
      <c r="A22" s="181"/>
      <c r="B22" s="290" t="str">
        <f>IF(ISBLANK('General Information'!C33),"",'General Information'!B33)</f>
        <v/>
      </c>
      <c r="C22" s="290" t="str">
        <f>IF(ISBLANK('General Information'!C33),"",'General Information'!C33)</f>
        <v/>
      </c>
      <c r="D22" s="290" t="str">
        <f>IF(ISBLANK('General Information'!$C33),"",'General Information'!$E33*_xlfn.XLOOKUP('General Information'!$D33,Data!$Z$7:$Z$33,Data!AC$7:AC$33)*0.0004536)</f>
        <v/>
      </c>
      <c r="E22" s="290" t="str">
        <f>IF(ISBLANK('General Information'!$C33),"",'General Information'!$E33*_xlfn.XLOOKUP('General Information'!$D33,Data!$Z$7:$Z$33,Data!AD$7:AD$33)*0.0004536)</f>
        <v/>
      </c>
      <c r="F22" s="290" t="str">
        <f>IF(ISBLANK('General Information'!$C33),"",'General Information'!$E33*_xlfn.XLOOKUP('General Information'!$D33,Data!$Z$7:$Z$33,Data!AE$7:AE$33)*0.0004536)</f>
        <v/>
      </c>
      <c r="G22" s="144"/>
      <c r="H22" s="290" t="str">
        <f>IF(ISBLANK('General Information'!C33),"",Results!D22+25*Results!E22+298*Results!F22)</f>
        <v/>
      </c>
      <c r="I22" s="144"/>
      <c r="J22" s="290" t="str">
        <f>IF(ISBLANK('Company owned Transport'!B27),"",'Company owned Transport'!B27)</f>
        <v/>
      </c>
      <c r="K22" s="294" t="str">
        <f>IF(ISBLANK('Company owned Transport'!C27),"",'Company owned Transport'!C27)</f>
        <v/>
      </c>
      <c r="L22" s="290" t="str">
        <f>IF(ISBLANK('Company owned Transport'!E27),"",_xlfn.XLOOKUP('Company owned Transport'!$D27,Data!$K$6:$K$15,Data!L$6:L$15,"")*'Company owned Transport'!$E27/1000)</f>
        <v/>
      </c>
      <c r="M22" s="144"/>
      <c r="N22" s="144"/>
      <c r="O22" s="144"/>
      <c r="P22" s="290" t="str">
        <f>IF(ISBLANK('Company owned Transport'!E27),"",Results!L22+Results!M22*25+Results!N22*298)</f>
        <v/>
      </c>
      <c r="Q22" s="144"/>
      <c r="R22" s="290" t="str">
        <f>IF(ISBLANK('General Information'!H33),"",'General Information'!B33)</f>
        <v/>
      </c>
      <c r="S22" s="290" t="str">
        <f>IF(ISBLANK('General Information'!H33),"",'General Information'!C33)</f>
        <v/>
      </c>
      <c r="T22" s="290" t="str">
        <f>IF(ISBLANK('General Information'!$H33),"",'General Information'!$H33*41*(Data!U$18+Data!U$19)/1000)</f>
        <v/>
      </c>
      <c r="U22" s="290" t="str">
        <f>IF(ISBLANK('General Information'!$H33),"",'General Information'!$H33*41*(Data!V$18+Data!V$19)/1000)</f>
        <v/>
      </c>
      <c r="V22" s="290" t="str">
        <f>IF(ISBLANK('General Information'!$H33),"",'General Information'!$H33*41*(Data!W$18+Data!W$19)/1000)</f>
        <v/>
      </c>
      <c r="W22" s="144"/>
      <c r="X22" s="290" t="str">
        <f>IF(ISBLANK('General Information'!$H33),"",Results!T22+25*Results!U22+298*Results!V22)</f>
        <v/>
      </c>
      <c r="Y22" s="144"/>
      <c r="Z22" s="290" t="str">
        <f>IF(ISBLANK('Purchased Gases &amp; Refrigerants'!$C30),"",'Purchased Gases &amp; Refrigerants'!B30)</f>
        <v/>
      </c>
      <c r="AA22" s="290" t="str">
        <f>IF(ISBLANK('Purchased Gases &amp; Refrigerants'!$C30),"",'Purchased Gases &amp; Refrigerants'!C30)</f>
        <v/>
      </c>
      <c r="AB22" s="144"/>
      <c r="AC22" s="290" t="str">
        <f>IF(ISBLANK('Purchased Gases &amp; Refrigerants'!$E30),"",_xlfn.XLOOKUP('Purchased Gases &amp; Refrigerants'!D30,Data!$AU$6:$AU$37,Data!$AV$6:$AV$37,0)*'Purchased Gases &amp; Refrigerants'!$E30*0.0004536)</f>
        <v/>
      </c>
      <c r="AD22" s="144"/>
      <c r="AE22" s="290" t="str">
        <f>IF(ISBLANK('Purchased Gases &amp; Refrigerants'!$C30),"",'Purchased Gases &amp; Refrigerants'!B30)</f>
        <v/>
      </c>
      <c r="AF22" s="290" t="str">
        <f>IF(ISBLANK('Purchased Gases &amp; Refrigerants'!$C30),"",'Purchased Gases &amp; Refrigerants'!C30)</f>
        <v/>
      </c>
      <c r="AG22" s="144"/>
      <c r="AH22" s="290" t="str">
        <f>IF(ISBLANK('Purchased Gases &amp; Refrigerants'!E30),"",_xlfn.XLOOKUP('Purchased Gases &amp; Refrigerants'!D30,Data!$AU$38:$AU$40,Data!$AV$38:$AV$40,0)*'Purchased Gases &amp; Refrigerants'!E30*0.4536)</f>
        <v/>
      </c>
      <c r="AI22" s="144"/>
      <c r="AJ22" s="290" t="str">
        <f>IF(ISBLANK('Raw Material Usage'!B27),"",'Raw Material Usage'!B27)</f>
        <v/>
      </c>
      <c r="AK22" s="290" t="str">
        <f>IF(ISBLANK('Raw Material Usage'!C27),"",'Raw Material Usage'!C27)</f>
        <v/>
      </c>
      <c r="AL22" s="144"/>
      <c r="AM22" s="290" t="str">
        <f ca="1">IF(ISBLANK('Raw Material Usage'!E27),"",OFFSET('Raw Material Calculation'!$J$11,16*1,0)/1000)</f>
        <v/>
      </c>
      <c r="AN22" s="144"/>
      <c r="AO22" s="290" t="str">
        <f>IF(ISBLANK('Raw Material Usage'!B27),"",'Raw Material Usage'!B27)</f>
        <v/>
      </c>
      <c r="AP22" s="290" t="str">
        <f>IF(ISBLANK('Raw Material Usage'!C27),"",'Raw Material Usage'!C27)</f>
        <v/>
      </c>
      <c r="AQ22" s="144"/>
      <c r="AR22" s="290" t="str">
        <f>IF(ISBLANK('Raw Material Usage'!E27),"",_xlfn.XLOOKUP('Raw Material Usage'!D27,Data!$BL$6:$BL$30,Data!$BM$6:$BM$30,0)*'Raw Material Usage'!E27/1.102)</f>
        <v/>
      </c>
      <c r="AT22" s="290" t="str">
        <f>IF(ISBLANK('Waste Disposal'!B27),"",'Waste Disposal'!B27)</f>
        <v/>
      </c>
      <c r="AU22" s="290" t="str">
        <f>IF(ISBLANK('Waste Disposal'!C27),"",'Waste Disposal'!C27)</f>
        <v/>
      </c>
      <c r="AV22" s="144"/>
      <c r="AW22" s="290" t="str">
        <f>IF(ISBLANK('Waste Disposal'!$F27),"",CHOOSE(MATCH('Waste Disposal'!E27,Data!$AO$5:$AR$5,0),_xlfn.XLOOKUP('Waste Disposal'!$D27,Data!$AN$6:$AN$65,Data!$AO$6:$AO$65),_xlfn.XLOOKUP('Waste Disposal'!$D27,Data!$AN$6:$AN$65,Data!$AP$6:$AP$65),_xlfn.XLOOKUP('Waste Disposal'!$D27,Data!$AN$6:$AN$65,Data!$AQ$6:$AQ$65),_xlfn.XLOOKUP('Waste Disposal'!$D27,Data!$AN$6:$AN$65,Data!$AR$6:$AR$65))*'Waste Disposal'!$F27)</f>
        <v/>
      </c>
      <c r="AX22" s="305"/>
    </row>
    <row r="23" spans="1:50">
      <c r="A23" s="181"/>
      <c r="B23" s="289" t="str">
        <f>IF(ISBLANK('General Information'!C34),"",'General Information'!B34)</f>
        <v/>
      </c>
      <c r="C23" s="289" t="str">
        <f>IF(ISBLANK('General Information'!C34),"",'General Information'!C34)</f>
        <v/>
      </c>
      <c r="D23" s="289" t="str">
        <f>IF(ISBLANK('General Information'!$C34),"",'General Information'!$E34*_xlfn.XLOOKUP('General Information'!$D34,Data!$Z$7:$Z$33,Data!AC$7:AC$33)*0.0004536)</f>
        <v/>
      </c>
      <c r="E23" s="289" t="str">
        <f>IF(ISBLANK('General Information'!$C34),"",'General Information'!$E34*_xlfn.XLOOKUP('General Information'!$D34,Data!$Z$7:$Z$33,Data!AD$7:AD$33)*0.0004536)</f>
        <v/>
      </c>
      <c r="F23" s="289" t="str">
        <f>IF(ISBLANK('General Information'!$C34),"",'General Information'!$E34*_xlfn.XLOOKUP('General Information'!$D34,Data!$Z$7:$Z$33,Data!AE$7:AE$33)*0.0004536)</f>
        <v/>
      </c>
      <c r="G23" s="144"/>
      <c r="H23" s="289" t="str">
        <f>IF(ISBLANK('General Information'!C34),"",Results!D23+25*Results!E23+298*Results!F23)</f>
        <v/>
      </c>
      <c r="I23" s="144"/>
      <c r="J23" s="289" t="str">
        <f>IF(ISBLANK('Company owned Transport'!B28),"",'Company owned Transport'!B28)</f>
        <v/>
      </c>
      <c r="K23" s="292" t="str">
        <f>IF(ISBLANK('Company owned Transport'!C28),"",'Company owned Transport'!C28)</f>
        <v/>
      </c>
      <c r="L23" s="289" t="str">
        <f>IF(ISBLANK('Company owned Transport'!E28),"",_xlfn.XLOOKUP('Company owned Transport'!$D28,Data!$K$6:$K$15,Data!L$6:L$15,"")*'Company owned Transport'!$E28/1000)</f>
        <v/>
      </c>
      <c r="M23" s="144"/>
      <c r="N23" s="144"/>
      <c r="O23" s="144"/>
      <c r="P23" s="289" t="str">
        <f>IF(ISBLANK('Company owned Transport'!E28),"",Results!L23+Results!M23*25+Results!N23*298)</f>
        <v/>
      </c>
      <c r="Q23" s="144"/>
      <c r="R23" s="289" t="str">
        <f>IF(ISBLANK('General Information'!H34),"",'General Information'!B34)</f>
        <v/>
      </c>
      <c r="S23" s="289" t="str">
        <f>IF(ISBLANK('General Information'!H34),"",'General Information'!C34)</f>
        <v/>
      </c>
      <c r="T23" s="289" t="str">
        <f>IF(ISBLANK('General Information'!$H34),"",'General Information'!$H34*41*(Data!U$18+Data!U$19)/1000)</f>
        <v/>
      </c>
      <c r="U23" s="289" t="str">
        <f>IF(ISBLANK('General Information'!$H34),"",'General Information'!$H34*41*(Data!V$18+Data!V$19)/1000)</f>
        <v/>
      </c>
      <c r="V23" s="289" t="str">
        <f>IF(ISBLANK('General Information'!$H34),"",'General Information'!$H34*41*(Data!W$18+Data!W$19)/1000)</f>
        <v/>
      </c>
      <c r="W23" s="144"/>
      <c r="X23" s="289" t="str">
        <f>IF(ISBLANK('General Information'!$H34),"",Results!T23+25*Results!U23+298*Results!V23)</f>
        <v/>
      </c>
      <c r="Y23" s="144"/>
      <c r="Z23" s="289" t="str">
        <f>IF(ISBLANK('Purchased Gases &amp; Refrigerants'!$C31),"",'Purchased Gases &amp; Refrigerants'!B31)</f>
        <v/>
      </c>
      <c r="AA23" s="289" t="str">
        <f>IF(ISBLANK('Purchased Gases &amp; Refrigerants'!$C31),"",'Purchased Gases &amp; Refrigerants'!C31)</f>
        <v/>
      </c>
      <c r="AB23" s="144"/>
      <c r="AC23" s="289" t="str">
        <f>IF(ISBLANK('Purchased Gases &amp; Refrigerants'!$E31),"",_xlfn.XLOOKUP('Purchased Gases &amp; Refrigerants'!D31,Data!$AU$6:$AU$37,Data!$AV$6:$AV$37,0)*'Purchased Gases &amp; Refrigerants'!$E31*0.0004536)</f>
        <v/>
      </c>
      <c r="AD23" s="144"/>
      <c r="AE23" s="289" t="str">
        <f>IF(ISBLANK('Purchased Gases &amp; Refrigerants'!$C31),"",'Purchased Gases &amp; Refrigerants'!B31)</f>
        <v/>
      </c>
      <c r="AF23" s="289" t="str">
        <f>IF(ISBLANK('Purchased Gases &amp; Refrigerants'!$C31),"",'Purchased Gases &amp; Refrigerants'!C31)</f>
        <v/>
      </c>
      <c r="AG23" s="144"/>
      <c r="AH23" s="289" t="str">
        <f>IF(ISBLANK('Purchased Gases &amp; Refrigerants'!E31),"",_xlfn.XLOOKUP('Purchased Gases &amp; Refrigerants'!D31,Data!$AU$38:$AU$40,Data!$AV$38:$AV$40,0)*'Purchased Gases &amp; Refrigerants'!E31*0.4536)</f>
        <v/>
      </c>
      <c r="AI23" s="144"/>
      <c r="AJ23" s="289" t="str">
        <f>IF(ISBLANK('Raw Material Usage'!B28),"",'Raw Material Usage'!B28)</f>
        <v/>
      </c>
      <c r="AK23" s="289" t="str">
        <f>IF(ISBLANK('Raw Material Usage'!C28),"",'Raw Material Usage'!C28)</f>
        <v/>
      </c>
      <c r="AL23" s="144"/>
      <c r="AM23" s="289" t="str">
        <f ca="1">IF(ISBLANK('Raw Material Usage'!E28),"",OFFSET('Raw Material Calculation'!$J$11,16*1,0)/1000)</f>
        <v/>
      </c>
      <c r="AN23" s="144"/>
      <c r="AO23" s="289" t="str">
        <f>IF(ISBLANK('Raw Material Usage'!B28),"",'Raw Material Usage'!B28)</f>
        <v/>
      </c>
      <c r="AP23" s="289" t="str">
        <f>IF(ISBLANK('Raw Material Usage'!C28),"",'Raw Material Usage'!C28)</f>
        <v/>
      </c>
      <c r="AQ23" s="144"/>
      <c r="AR23" s="289" t="str">
        <f>IF(ISBLANK('Raw Material Usage'!E28),"",_xlfn.XLOOKUP('Raw Material Usage'!D28,Data!$BL$6:$BL$30,Data!$BM$6:$BM$30,0)*'Raw Material Usage'!E28/1.102)</f>
        <v/>
      </c>
      <c r="AT23" s="289" t="str">
        <f>IF(ISBLANK('Waste Disposal'!B28),"",'Waste Disposal'!B28)</f>
        <v/>
      </c>
      <c r="AU23" s="289" t="str">
        <f>IF(ISBLANK('Waste Disposal'!C28),"",'Waste Disposal'!C28)</f>
        <v/>
      </c>
      <c r="AV23" s="144"/>
      <c r="AW23" s="289" t="str">
        <f>IF(ISBLANK('Waste Disposal'!$F28),"",CHOOSE(MATCH('Waste Disposal'!E28,Data!$AO$5:$AR$5,0),_xlfn.XLOOKUP('Waste Disposal'!$D28,Data!$AN$6:$AN$65,Data!$AO$6:$AO$65),_xlfn.XLOOKUP('Waste Disposal'!$D28,Data!$AN$6:$AN$65,Data!$AP$6:$AP$65),_xlfn.XLOOKUP('Waste Disposal'!$D28,Data!$AN$6:$AN$65,Data!$AQ$6:$AQ$65),_xlfn.XLOOKUP('Waste Disposal'!$D28,Data!$AN$6:$AN$65,Data!$AR$6:$AR$65))*'Waste Disposal'!$F28)</f>
        <v/>
      </c>
      <c r="AX23" s="305"/>
    </row>
    <row r="24" spans="1:50">
      <c r="A24" s="181"/>
      <c r="B24" s="290" t="str">
        <f>IF(ISBLANK('General Information'!C35),"",'General Information'!B35)</f>
        <v/>
      </c>
      <c r="C24" s="290" t="str">
        <f>IF(ISBLANK('General Information'!C35),"",'General Information'!C35)</f>
        <v/>
      </c>
      <c r="D24" s="290" t="str">
        <f>IF(ISBLANK('General Information'!$C35),"",'General Information'!$E35*_xlfn.XLOOKUP('General Information'!$D35,Data!$Z$7:$Z$33,Data!AC$7:AC$33)*0.0004536)</f>
        <v/>
      </c>
      <c r="E24" s="290" t="str">
        <f>IF(ISBLANK('General Information'!$C35),"",'General Information'!$E35*_xlfn.XLOOKUP('General Information'!$D35,Data!$Z$7:$Z$33,Data!AD$7:AD$33)*0.0004536)</f>
        <v/>
      </c>
      <c r="F24" s="290" t="str">
        <f>IF(ISBLANK('General Information'!$C35),"",'General Information'!$E35*_xlfn.XLOOKUP('General Information'!$D35,Data!$Z$7:$Z$33,Data!AE$7:AE$33)*0.0004536)</f>
        <v/>
      </c>
      <c r="G24" s="144"/>
      <c r="H24" s="290" t="str">
        <f>IF(ISBLANK('General Information'!C35),"",Results!D24+25*Results!E24+298*Results!F24)</f>
        <v/>
      </c>
      <c r="I24" s="144"/>
      <c r="J24" s="290" t="str">
        <f>IF(ISBLANK('Company owned Transport'!B29),"",'Company owned Transport'!B29)</f>
        <v/>
      </c>
      <c r="K24" s="294" t="str">
        <f>IF(ISBLANK('Company owned Transport'!C29),"",'Company owned Transport'!C29)</f>
        <v/>
      </c>
      <c r="L24" s="290" t="str">
        <f>IF(ISBLANK('Company owned Transport'!E29),"",_xlfn.XLOOKUP('Company owned Transport'!$D29,Data!$K$6:$K$15,Data!L$6:L$15,"")*'Company owned Transport'!$E29/1000)</f>
        <v/>
      </c>
      <c r="M24" s="144"/>
      <c r="N24" s="144"/>
      <c r="O24" s="144"/>
      <c r="P24" s="290" t="str">
        <f>IF(ISBLANK('Company owned Transport'!E29),"",Results!L24+Results!M24*25+Results!N24*298)</f>
        <v/>
      </c>
      <c r="Q24" s="144"/>
      <c r="R24" s="290" t="str">
        <f>IF(ISBLANK('General Information'!H35),"",'General Information'!B35)</f>
        <v/>
      </c>
      <c r="S24" s="290" t="str">
        <f>IF(ISBLANK('General Information'!H35),"",'General Information'!C35)</f>
        <v/>
      </c>
      <c r="T24" s="290" t="str">
        <f>IF(ISBLANK('General Information'!$H35),"",'General Information'!$H35*41*(Data!U$18+Data!U$19)/1000)</f>
        <v/>
      </c>
      <c r="U24" s="290" t="str">
        <f>IF(ISBLANK('General Information'!$H35),"",'General Information'!$H35*41*(Data!V$18+Data!V$19)/1000)</f>
        <v/>
      </c>
      <c r="V24" s="290" t="str">
        <f>IF(ISBLANK('General Information'!$H35),"",'General Information'!$H35*41*(Data!W$18+Data!W$19)/1000)</f>
        <v/>
      </c>
      <c r="W24" s="144"/>
      <c r="X24" s="290" t="str">
        <f>IF(ISBLANK('General Information'!$H35),"",Results!T24+25*Results!U24+298*Results!V24)</f>
        <v/>
      </c>
      <c r="Y24" s="144"/>
      <c r="Z24" s="290" t="str">
        <f>IF(ISBLANK('Purchased Gases &amp; Refrigerants'!$C32),"",'Purchased Gases &amp; Refrigerants'!B32)</f>
        <v/>
      </c>
      <c r="AA24" s="290" t="str">
        <f>IF(ISBLANK('Purchased Gases &amp; Refrigerants'!$C32),"",'Purchased Gases &amp; Refrigerants'!C32)</f>
        <v/>
      </c>
      <c r="AB24" s="144"/>
      <c r="AC24" s="290" t="str">
        <f>IF(ISBLANK('Purchased Gases &amp; Refrigerants'!$E32),"",_xlfn.XLOOKUP('Purchased Gases &amp; Refrigerants'!D32,Data!$AU$6:$AU$37,Data!$AV$6:$AV$37,0)*'Purchased Gases &amp; Refrigerants'!$E32*0.0004536)</f>
        <v/>
      </c>
      <c r="AD24" s="144"/>
      <c r="AE24" s="290" t="str">
        <f>IF(ISBLANK('Purchased Gases &amp; Refrigerants'!$C32),"",'Purchased Gases &amp; Refrigerants'!B32)</f>
        <v/>
      </c>
      <c r="AF24" s="290" t="str">
        <f>IF(ISBLANK('Purchased Gases &amp; Refrigerants'!$C32),"",'Purchased Gases &amp; Refrigerants'!C32)</f>
        <v/>
      </c>
      <c r="AG24" s="144"/>
      <c r="AH24" s="290" t="str">
        <f>IF(ISBLANK('Purchased Gases &amp; Refrigerants'!E32),"",_xlfn.XLOOKUP('Purchased Gases &amp; Refrigerants'!D32,Data!$AU$38:$AU$40,Data!$AV$38:$AV$40,0)*'Purchased Gases &amp; Refrigerants'!E32*0.4536)</f>
        <v/>
      </c>
      <c r="AI24" s="144"/>
      <c r="AJ24" s="290" t="str">
        <f>IF(ISBLANK('Raw Material Usage'!B29),"",'Raw Material Usage'!B29)</f>
        <v/>
      </c>
      <c r="AK24" s="290" t="str">
        <f>IF(ISBLANK('Raw Material Usage'!C29),"",'Raw Material Usage'!C29)</f>
        <v/>
      </c>
      <c r="AL24" s="144"/>
      <c r="AM24" s="290" t="str">
        <f ca="1">IF(ISBLANK('Raw Material Usage'!E29),"",OFFSET('Raw Material Calculation'!$J$11,16*1,0)/1000)</f>
        <v/>
      </c>
      <c r="AN24" s="144"/>
      <c r="AO24" s="290" t="str">
        <f>IF(ISBLANK('Raw Material Usage'!B29),"",'Raw Material Usage'!B29)</f>
        <v/>
      </c>
      <c r="AP24" s="290" t="str">
        <f>IF(ISBLANK('Raw Material Usage'!C29),"",'Raw Material Usage'!C29)</f>
        <v/>
      </c>
      <c r="AQ24" s="144"/>
      <c r="AR24" s="290" t="str">
        <f>IF(ISBLANK('Raw Material Usage'!E29),"",_xlfn.XLOOKUP('Raw Material Usage'!D29,Data!$BL$6:$BL$30,Data!$BM$6:$BM$30,0)*'Raw Material Usage'!E29/1.102)</f>
        <v/>
      </c>
      <c r="AT24" s="290" t="str">
        <f>IF(ISBLANK('Waste Disposal'!B29),"",'Waste Disposal'!B29)</f>
        <v/>
      </c>
      <c r="AU24" s="290" t="str">
        <f>IF(ISBLANK('Waste Disposal'!C29),"",'Waste Disposal'!C29)</f>
        <v/>
      </c>
      <c r="AV24" s="144"/>
      <c r="AW24" s="290" t="str">
        <f>IF(ISBLANK('Waste Disposal'!$F29),"",CHOOSE(MATCH('Waste Disposal'!E29,Data!$AO$5:$AR$5,0),_xlfn.XLOOKUP('Waste Disposal'!$D29,Data!$AN$6:$AN$65,Data!$AO$6:$AO$65),_xlfn.XLOOKUP('Waste Disposal'!$D29,Data!$AN$6:$AN$65,Data!$AP$6:$AP$65),_xlfn.XLOOKUP('Waste Disposal'!$D29,Data!$AN$6:$AN$65,Data!$AQ$6:$AQ$65),_xlfn.XLOOKUP('Waste Disposal'!$D29,Data!$AN$6:$AN$65,Data!$AR$6:$AR$65))*'Waste Disposal'!$F29)</f>
        <v/>
      </c>
      <c r="AX24" s="305"/>
    </row>
    <row r="25" spans="1:50">
      <c r="A25" s="181"/>
      <c r="B25" s="289" t="str">
        <f>IF(ISBLANK('General Information'!C36),"",'General Information'!B36)</f>
        <v/>
      </c>
      <c r="C25" s="289" t="str">
        <f>IF(ISBLANK('General Information'!C36),"",'General Information'!C36)</f>
        <v/>
      </c>
      <c r="D25" s="289" t="str">
        <f>IF(ISBLANK('General Information'!$C36),"",'General Information'!$E36*_xlfn.XLOOKUP('General Information'!$D36,Data!$Z$7:$Z$33,Data!AC$7:AC$33)*0.0004536)</f>
        <v/>
      </c>
      <c r="E25" s="289" t="str">
        <f>IF(ISBLANK('General Information'!$C36),"",'General Information'!$E36*_xlfn.XLOOKUP('General Information'!$D36,Data!$Z$7:$Z$33,Data!AD$7:AD$33)*0.0004536)</f>
        <v/>
      </c>
      <c r="F25" s="289" t="str">
        <f>IF(ISBLANK('General Information'!$C36),"",'General Information'!$E36*_xlfn.XLOOKUP('General Information'!$D36,Data!$Z$7:$Z$33,Data!AE$7:AE$33)*0.0004536)</f>
        <v/>
      </c>
      <c r="G25" s="144"/>
      <c r="H25" s="289" t="str">
        <f>IF(ISBLANK('General Information'!C36),"",Results!D25+25*Results!E25+298*Results!F25)</f>
        <v/>
      </c>
      <c r="I25" s="144"/>
      <c r="J25" s="289" t="str">
        <f>IF(ISBLANK('Company owned Transport'!B30),"",'Company owned Transport'!B30)</f>
        <v/>
      </c>
      <c r="K25" s="292" t="str">
        <f>IF(ISBLANK('Company owned Transport'!C30),"",'Company owned Transport'!C30)</f>
        <v/>
      </c>
      <c r="L25" s="289" t="str">
        <f>IF(ISBLANK('Company owned Transport'!E30),"",_xlfn.XLOOKUP('Company owned Transport'!$D30,Data!$K$6:$K$15,Data!L$6:L$15,"")*'Company owned Transport'!$E30/1000)</f>
        <v/>
      </c>
      <c r="M25" s="144"/>
      <c r="N25" s="144"/>
      <c r="O25" s="144"/>
      <c r="P25" s="289" t="str">
        <f>IF(ISBLANK('Company owned Transport'!E30),"",Results!L25+Results!M25*25+Results!N25*298)</f>
        <v/>
      </c>
      <c r="Q25" s="144"/>
      <c r="R25" s="289" t="str">
        <f>IF(ISBLANK('General Information'!H36),"",'General Information'!B36)</f>
        <v/>
      </c>
      <c r="S25" s="289" t="str">
        <f>IF(ISBLANK('General Information'!H36),"",'General Information'!C36)</f>
        <v/>
      </c>
      <c r="T25" s="289" t="str">
        <f>IF(ISBLANK('General Information'!$H36),"",'General Information'!$H36*41*(Data!U$18+Data!U$19)/1000)</f>
        <v/>
      </c>
      <c r="U25" s="289" t="str">
        <f>IF(ISBLANK('General Information'!$H36),"",'General Information'!$H36*41*(Data!V$18+Data!V$19)/1000)</f>
        <v/>
      </c>
      <c r="V25" s="289" t="str">
        <f>IF(ISBLANK('General Information'!$H36),"",'General Information'!$H36*41*(Data!W$18+Data!W$19)/1000)</f>
        <v/>
      </c>
      <c r="W25" s="144"/>
      <c r="X25" s="289" t="str">
        <f>IF(ISBLANK('General Information'!$H36),"",Results!T25+25*Results!U25+298*Results!V25)</f>
        <v/>
      </c>
      <c r="Y25" s="144"/>
      <c r="Z25" s="289" t="str">
        <f>IF(ISBLANK('Purchased Gases &amp; Refrigerants'!$C33),"",'Purchased Gases &amp; Refrigerants'!B33)</f>
        <v/>
      </c>
      <c r="AA25" s="289" t="str">
        <f>IF(ISBLANK('Purchased Gases &amp; Refrigerants'!$C33),"",'Purchased Gases &amp; Refrigerants'!C33)</f>
        <v/>
      </c>
      <c r="AB25" s="144"/>
      <c r="AC25" s="289" t="str">
        <f>IF(ISBLANK('Purchased Gases &amp; Refrigerants'!$E33),"",_xlfn.XLOOKUP('Purchased Gases &amp; Refrigerants'!D33,Data!$AU$6:$AU$37,Data!$AV$6:$AV$37,0)*'Purchased Gases &amp; Refrigerants'!$E33*0.0004536)</f>
        <v/>
      </c>
      <c r="AD25" s="144"/>
      <c r="AE25" s="289" t="str">
        <f>IF(ISBLANK('Purchased Gases &amp; Refrigerants'!$C33),"",'Purchased Gases &amp; Refrigerants'!B33)</f>
        <v/>
      </c>
      <c r="AF25" s="289" t="str">
        <f>IF(ISBLANK('Purchased Gases &amp; Refrigerants'!$C33),"",'Purchased Gases &amp; Refrigerants'!C33)</f>
        <v/>
      </c>
      <c r="AG25" s="144"/>
      <c r="AH25" s="289" t="str">
        <f>IF(ISBLANK('Purchased Gases &amp; Refrigerants'!E33),"",_xlfn.XLOOKUP('Purchased Gases &amp; Refrigerants'!D33,Data!$AU$38:$AU$40,Data!$AV$38:$AV$40,0)*'Purchased Gases &amp; Refrigerants'!E33*0.4536)</f>
        <v/>
      </c>
      <c r="AI25" s="144"/>
      <c r="AJ25" s="289" t="str">
        <f>IF(ISBLANK('Raw Material Usage'!B30),"",'Raw Material Usage'!B30)</f>
        <v/>
      </c>
      <c r="AK25" s="289" t="str">
        <f>IF(ISBLANK('Raw Material Usage'!C30),"",'Raw Material Usage'!C30)</f>
        <v/>
      </c>
      <c r="AL25" s="144"/>
      <c r="AM25" s="289" t="str">
        <f ca="1">IF(ISBLANK('Raw Material Usage'!E30),"",OFFSET('Raw Material Calculation'!$J$11,16*1,0)/1000)</f>
        <v/>
      </c>
      <c r="AN25" s="144"/>
      <c r="AO25" s="289" t="str">
        <f>IF(ISBLANK('Raw Material Usage'!B30),"",'Raw Material Usage'!B30)</f>
        <v/>
      </c>
      <c r="AP25" s="289" t="str">
        <f>IF(ISBLANK('Raw Material Usage'!C30),"",'Raw Material Usage'!C30)</f>
        <v/>
      </c>
      <c r="AQ25" s="144"/>
      <c r="AR25" s="289" t="str">
        <f>IF(ISBLANK('Raw Material Usage'!E30),"",_xlfn.XLOOKUP('Raw Material Usage'!D30,Data!$BL$6:$BL$30,Data!$BM$6:$BM$30,0)*'Raw Material Usage'!E30/1.102)</f>
        <v/>
      </c>
      <c r="AT25" s="289" t="str">
        <f>IF(ISBLANK('Waste Disposal'!B30),"",'Waste Disposal'!B30)</f>
        <v/>
      </c>
      <c r="AU25" s="289" t="str">
        <f>IF(ISBLANK('Waste Disposal'!C30),"",'Waste Disposal'!C30)</f>
        <v/>
      </c>
      <c r="AV25" s="144"/>
      <c r="AW25" s="289" t="str">
        <f>IF(ISBLANK('Waste Disposal'!$F30),"",CHOOSE(MATCH('Waste Disposal'!E30,Data!$AO$5:$AR$5,0),_xlfn.XLOOKUP('Waste Disposal'!$D30,Data!$AN$6:$AN$65,Data!$AO$6:$AO$65),_xlfn.XLOOKUP('Waste Disposal'!$D30,Data!$AN$6:$AN$65,Data!$AP$6:$AP$65),_xlfn.XLOOKUP('Waste Disposal'!$D30,Data!$AN$6:$AN$65,Data!$AQ$6:$AQ$65),_xlfn.XLOOKUP('Waste Disposal'!$D30,Data!$AN$6:$AN$65,Data!$AR$6:$AR$65))*'Waste Disposal'!$F30)</f>
        <v/>
      </c>
      <c r="AX25" s="305"/>
    </row>
    <row r="26" spans="1:50">
      <c r="A26" s="181"/>
      <c r="B26" s="290" t="str">
        <f>IF(ISBLANK('General Information'!C37),"",'General Information'!B37)</f>
        <v/>
      </c>
      <c r="C26" s="290" t="str">
        <f>IF(ISBLANK('General Information'!C37),"",'General Information'!C37)</f>
        <v/>
      </c>
      <c r="D26" s="290" t="str">
        <f>IF(ISBLANK('General Information'!$C37),"",'General Information'!$E37*_xlfn.XLOOKUP('General Information'!$D37,Data!$Z$7:$Z$33,Data!AC$7:AC$33)*0.0004536)</f>
        <v/>
      </c>
      <c r="E26" s="290" t="str">
        <f>IF(ISBLANK('General Information'!$C37),"",'General Information'!$E37*_xlfn.XLOOKUP('General Information'!$D37,Data!$Z$7:$Z$33,Data!AD$7:AD$33)*0.0004536)</f>
        <v/>
      </c>
      <c r="F26" s="290" t="str">
        <f>IF(ISBLANK('General Information'!$C37),"",'General Information'!$E37*_xlfn.XLOOKUP('General Information'!$D37,Data!$Z$7:$Z$33,Data!AE$7:AE$33)*0.0004536)</f>
        <v/>
      </c>
      <c r="G26" s="144"/>
      <c r="H26" s="290" t="str">
        <f>IF(ISBLANK('General Information'!C37),"",Results!D26+25*Results!E26+298*Results!F26)</f>
        <v/>
      </c>
      <c r="I26" s="144"/>
      <c r="J26" s="290" t="str">
        <f>IF(ISBLANK('Company owned Transport'!B31),"",'Company owned Transport'!B31)</f>
        <v/>
      </c>
      <c r="K26" s="294" t="str">
        <f>IF(ISBLANK('Company owned Transport'!C31),"",'Company owned Transport'!C31)</f>
        <v/>
      </c>
      <c r="L26" s="290" t="str">
        <f>IF(ISBLANK('Company owned Transport'!E31),"",_xlfn.XLOOKUP('Company owned Transport'!$D31,Data!$K$6:$K$15,Data!L$6:L$15,"")*'Company owned Transport'!$E31/1000)</f>
        <v/>
      </c>
      <c r="M26" s="144"/>
      <c r="N26" s="144"/>
      <c r="O26" s="144"/>
      <c r="P26" s="290" t="str">
        <f>IF(ISBLANK('Company owned Transport'!E31),"",Results!L26+Results!M26*25+Results!N26*298)</f>
        <v/>
      </c>
      <c r="Q26" s="144"/>
      <c r="R26" s="290" t="str">
        <f>IF(ISBLANK('General Information'!H37),"",'General Information'!B37)</f>
        <v/>
      </c>
      <c r="S26" s="290" t="str">
        <f>IF(ISBLANK('General Information'!H37),"",'General Information'!C37)</f>
        <v/>
      </c>
      <c r="T26" s="290" t="str">
        <f>IF(ISBLANK('General Information'!$H37),"",'General Information'!$H37*41*(Data!U$18+Data!U$19)/1000)</f>
        <v/>
      </c>
      <c r="U26" s="290" t="str">
        <f>IF(ISBLANK('General Information'!$H37),"",'General Information'!$H37*41*(Data!V$18+Data!V$19)/1000)</f>
        <v/>
      </c>
      <c r="V26" s="290" t="str">
        <f>IF(ISBLANK('General Information'!$H37),"",'General Information'!$H37*41*(Data!W$18+Data!W$19)/1000)</f>
        <v/>
      </c>
      <c r="W26" s="144"/>
      <c r="X26" s="290" t="str">
        <f>IF(ISBLANK('General Information'!$H37),"",Results!T26+25*Results!U26+298*Results!V26)</f>
        <v/>
      </c>
      <c r="Y26" s="144"/>
      <c r="Z26" s="290" t="str">
        <f>IF(ISBLANK('Purchased Gases &amp; Refrigerants'!$C34),"",'Purchased Gases &amp; Refrigerants'!B34)</f>
        <v/>
      </c>
      <c r="AA26" s="290" t="str">
        <f>IF(ISBLANK('Purchased Gases &amp; Refrigerants'!$C34),"",'Purchased Gases &amp; Refrigerants'!C34)</f>
        <v/>
      </c>
      <c r="AB26" s="144"/>
      <c r="AC26" s="290" t="str">
        <f>IF(ISBLANK('Purchased Gases &amp; Refrigerants'!$E34),"",_xlfn.XLOOKUP('Purchased Gases &amp; Refrigerants'!D34,Data!$AU$6:$AU$37,Data!$AV$6:$AV$37,0)*'Purchased Gases &amp; Refrigerants'!$E34*0.0004536)</f>
        <v/>
      </c>
      <c r="AD26" s="144"/>
      <c r="AE26" s="290" t="str">
        <f>IF(ISBLANK('Purchased Gases &amp; Refrigerants'!$C34),"",'Purchased Gases &amp; Refrigerants'!B34)</f>
        <v/>
      </c>
      <c r="AF26" s="290" t="str">
        <f>IF(ISBLANK('Purchased Gases &amp; Refrigerants'!$C34),"",'Purchased Gases &amp; Refrigerants'!C34)</f>
        <v/>
      </c>
      <c r="AG26" s="144"/>
      <c r="AH26" s="290" t="str">
        <f>IF(ISBLANK('Purchased Gases &amp; Refrigerants'!E34),"",_xlfn.XLOOKUP('Purchased Gases &amp; Refrigerants'!D34,Data!$AU$38:$AU$40,Data!$AV$38:$AV$40,0)*'Purchased Gases &amp; Refrigerants'!E34*0.4536)</f>
        <v/>
      </c>
      <c r="AI26" s="144"/>
      <c r="AJ26" s="290" t="str">
        <f>IF(ISBLANK('Raw Material Usage'!B31),"",'Raw Material Usage'!B31)</f>
        <v/>
      </c>
      <c r="AK26" s="290" t="str">
        <f>IF(ISBLANK('Raw Material Usage'!C31),"",'Raw Material Usage'!C31)</f>
        <v/>
      </c>
      <c r="AL26" s="144"/>
      <c r="AM26" s="290" t="str">
        <f ca="1">IF(ISBLANK('Raw Material Usage'!E31),"",OFFSET('Raw Material Calculation'!$J$11,16*1,0)/1000)</f>
        <v/>
      </c>
      <c r="AN26" s="144"/>
      <c r="AO26" s="290" t="str">
        <f>IF(ISBLANK('Raw Material Usage'!B31),"",'Raw Material Usage'!B31)</f>
        <v/>
      </c>
      <c r="AP26" s="290" t="str">
        <f>IF(ISBLANK('Raw Material Usage'!C31),"",'Raw Material Usage'!C31)</f>
        <v/>
      </c>
      <c r="AQ26" s="144"/>
      <c r="AR26" s="290" t="str">
        <f>IF(ISBLANK('Raw Material Usage'!E31),"",_xlfn.XLOOKUP('Raw Material Usage'!D31,Data!$BL$6:$BL$30,Data!$BM$6:$BM$30,0)*'Raw Material Usage'!E31/1.102)</f>
        <v/>
      </c>
      <c r="AT26" s="290" t="str">
        <f>IF(ISBLANK('Waste Disposal'!B31),"",'Waste Disposal'!B31)</f>
        <v/>
      </c>
      <c r="AU26" s="290" t="str">
        <f>IF(ISBLANK('Waste Disposal'!C31),"",'Waste Disposal'!C31)</f>
        <v/>
      </c>
      <c r="AV26" s="144"/>
      <c r="AW26" s="290" t="str">
        <f>IF(ISBLANK('Waste Disposal'!$F31),"",CHOOSE(MATCH('Waste Disposal'!E31,Data!$AO$5:$AR$5,0),_xlfn.XLOOKUP('Waste Disposal'!$D31,Data!$AN$6:$AN$65,Data!$AO$6:$AO$65),_xlfn.XLOOKUP('Waste Disposal'!$D31,Data!$AN$6:$AN$65,Data!$AP$6:$AP$65),_xlfn.XLOOKUP('Waste Disposal'!$D31,Data!$AN$6:$AN$65,Data!$AQ$6:$AQ$65),_xlfn.XLOOKUP('Waste Disposal'!$D31,Data!$AN$6:$AN$65,Data!$AR$6:$AR$65))*'Waste Disposal'!$F31)</f>
        <v/>
      </c>
      <c r="AX26" s="305"/>
    </row>
    <row r="27" spans="1:50">
      <c r="A27" s="181"/>
      <c r="B27" s="289" t="str">
        <f>IF(ISBLANK('General Information'!C38),"",'General Information'!B38)</f>
        <v/>
      </c>
      <c r="C27" s="289" t="str">
        <f>IF(ISBLANK('General Information'!C38),"",'General Information'!C38)</f>
        <v/>
      </c>
      <c r="D27" s="289" t="str">
        <f>IF(ISBLANK('General Information'!$C38),"",'General Information'!$E38*_xlfn.XLOOKUP('General Information'!$D38,Data!$Z$7:$Z$33,Data!AC$7:AC$33)*0.0004536)</f>
        <v/>
      </c>
      <c r="E27" s="289" t="str">
        <f>IF(ISBLANK('General Information'!$C38),"",'General Information'!$E38*_xlfn.XLOOKUP('General Information'!$D38,Data!$Z$7:$Z$33,Data!AD$7:AD$33)*0.0004536)</f>
        <v/>
      </c>
      <c r="F27" s="289" t="str">
        <f>IF(ISBLANK('General Information'!$C38),"",'General Information'!$E38*_xlfn.XLOOKUP('General Information'!$D38,Data!$Z$7:$Z$33,Data!AE$7:AE$33)*0.0004536)</f>
        <v/>
      </c>
      <c r="G27" s="144"/>
      <c r="H27" s="289" t="str">
        <f>IF(ISBLANK('General Information'!C38),"",Results!D27+25*Results!E27+298*Results!F27)</f>
        <v/>
      </c>
      <c r="I27" s="144"/>
      <c r="J27" s="289" t="str">
        <f>IF(ISBLANK('Company owned Transport'!B32),"",'Company owned Transport'!B32)</f>
        <v/>
      </c>
      <c r="K27" s="292" t="str">
        <f>IF(ISBLANK('Company owned Transport'!C32),"",'Company owned Transport'!C32)</f>
        <v/>
      </c>
      <c r="L27" s="289" t="str">
        <f>IF(ISBLANK('Company owned Transport'!E32),"",_xlfn.XLOOKUP('Company owned Transport'!$D32,Data!$K$6:$K$15,Data!L$6:L$15,"")*'Company owned Transport'!$E32/1000)</f>
        <v/>
      </c>
      <c r="M27" s="144"/>
      <c r="N27" s="144"/>
      <c r="O27" s="144"/>
      <c r="P27" s="289" t="str">
        <f>IF(ISBLANK('Company owned Transport'!E32),"",Results!L27+Results!M27*25+Results!N27*298)</f>
        <v/>
      </c>
      <c r="Q27" s="144"/>
      <c r="R27" s="289" t="str">
        <f>IF(ISBLANK('General Information'!H38),"",'General Information'!B38)</f>
        <v/>
      </c>
      <c r="S27" s="289" t="str">
        <f>IF(ISBLANK('General Information'!H38),"",'General Information'!C38)</f>
        <v/>
      </c>
      <c r="T27" s="289" t="str">
        <f>IF(ISBLANK('General Information'!$H38),"",'General Information'!$H38*41*(Data!U$18+Data!U$19)/1000)</f>
        <v/>
      </c>
      <c r="U27" s="289" t="str">
        <f>IF(ISBLANK('General Information'!$H38),"",'General Information'!$H38*41*(Data!V$18+Data!V$19)/1000)</f>
        <v/>
      </c>
      <c r="V27" s="289" t="str">
        <f>IF(ISBLANK('General Information'!$H38),"",'General Information'!$H38*41*(Data!W$18+Data!W$19)/1000)</f>
        <v/>
      </c>
      <c r="W27" s="144"/>
      <c r="X27" s="289" t="str">
        <f>IF(ISBLANK('General Information'!$H38),"",Results!T27+25*Results!U27+298*Results!V27)</f>
        <v/>
      </c>
      <c r="Y27" s="144"/>
      <c r="Z27" s="289" t="str">
        <f>IF(ISBLANK('Purchased Gases &amp; Refrigerants'!$C35),"",'Purchased Gases &amp; Refrigerants'!B35)</f>
        <v/>
      </c>
      <c r="AA27" s="289" t="str">
        <f>IF(ISBLANK('Purchased Gases &amp; Refrigerants'!$C35),"",'Purchased Gases &amp; Refrigerants'!C35)</f>
        <v/>
      </c>
      <c r="AB27" s="144"/>
      <c r="AC27" s="289" t="str">
        <f>IF(ISBLANK('Purchased Gases &amp; Refrigerants'!$E35),"",_xlfn.XLOOKUP('Purchased Gases &amp; Refrigerants'!D35,Data!$AU$6:$AU$37,Data!$AV$6:$AV$37,0)*'Purchased Gases &amp; Refrigerants'!$E35*0.0004536)</f>
        <v/>
      </c>
      <c r="AD27" s="144"/>
      <c r="AE27" s="289" t="str">
        <f>IF(ISBLANK('Purchased Gases &amp; Refrigerants'!$C35),"",'Purchased Gases &amp; Refrigerants'!B35)</f>
        <v/>
      </c>
      <c r="AF27" s="289" t="str">
        <f>IF(ISBLANK('Purchased Gases &amp; Refrigerants'!$C35),"",'Purchased Gases &amp; Refrigerants'!C35)</f>
        <v/>
      </c>
      <c r="AG27" s="144"/>
      <c r="AH27" s="289" t="str">
        <f>IF(ISBLANK('Purchased Gases &amp; Refrigerants'!E35),"",_xlfn.XLOOKUP('Purchased Gases &amp; Refrigerants'!D35,Data!$AU$38:$AU$40,Data!$AV$38:$AV$40,0)*'Purchased Gases &amp; Refrigerants'!E35*0.4536)</f>
        <v/>
      </c>
      <c r="AI27" s="144"/>
      <c r="AJ27" s="289" t="str">
        <f>IF(ISBLANK('Raw Material Usage'!B32),"",'Raw Material Usage'!B32)</f>
        <v/>
      </c>
      <c r="AK27" s="289" t="str">
        <f>IF(ISBLANK('Raw Material Usage'!C32),"",'Raw Material Usage'!C32)</f>
        <v/>
      </c>
      <c r="AL27" s="144"/>
      <c r="AM27" s="289" t="str">
        <f ca="1">IF(ISBLANK('Raw Material Usage'!E32),"",OFFSET('Raw Material Calculation'!$J$11,16*1,0)/1000)</f>
        <v/>
      </c>
      <c r="AN27" s="144"/>
      <c r="AO27" s="289" t="str">
        <f>IF(ISBLANK('Raw Material Usage'!B32),"",'Raw Material Usage'!B32)</f>
        <v/>
      </c>
      <c r="AP27" s="289" t="str">
        <f>IF(ISBLANK('Raw Material Usage'!C32),"",'Raw Material Usage'!C32)</f>
        <v/>
      </c>
      <c r="AQ27" s="144"/>
      <c r="AR27" s="289" t="str">
        <f>IF(ISBLANK('Raw Material Usage'!E32),"",_xlfn.XLOOKUP('Raw Material Usage'!D32,Data!$BL$6:$BL$30,Data!$BM$6:$BM$30,0)*'Raw Material Usage'!E32/1.102)</f>
        <v/>
      </c>
      <c r="AT27" s="289" t="str">
        <f>IF(ISBLANK('Waste Disposal'!B32),"",'Waste Disposal'!B32)</f>
        <v/>
      </c>
      <c r="AU27" s="289" t="str">
        <f>IF(ISBLANK('Waste Disposal'!C32),"",'Waste Disposal'!C32)</f>
        <v/>
      </c>
      <c r="AV27" s="144"/>
      <c r="AW27" s="289" t="str">
        <f>IF(ISBLANK('Waste Disposal'!$F32),"",CHOOSE(MATCH('Waste Disposal'!E32,Data!$AO$5:$AR$5,0),_xlfn.XLOOKUP('Waste Disposal'!$D32,Data!$AN$6:$AN$65,Data!$AO$6:$AO$65),_xlfn.XLOOKUP('Waste Disposal'!$D32,Data!$AN$6:$AN$65,Data!$AP$6:$AP$65),_xlfn.XLOOKUP('Waste Disposal'!$D32,Data!$AN$6:$AN$65,Data!$AQ$6:$AQ$65),_xlfn.XLOOKUP('Waste Disposal'!$D32,Data!$AN$6:$AN$65,Data!$AR$6:$AR$65))*'Waste Disposal'!$F32)</f>
        <v/>
      </c>
      <c r="AX27" s="305"/>
    </row>
    <row r="28" spans="1:50">
      <c r="A28" s="181"/>
      <c r="B28" s="290" t="str">
        <f>IF(ISBLANK('General Information'!C39),"",'General Information'!B39)</f>
        <v/>
      </c>
      <c r="C28" s="290" t="str">
        <f>IF(ISBLANK('General Information'!C39),"",'General Information'!C39)</f>
        <v/>
      </c>
      <c r="D28" s="290" t="str">
        <f>IF(ISBLANK('General Information'!$C39),"",'General Information'!$E39*_xlfn.XLOOKUP('General Information'!$D39,Data!$Z$7:$Z$33,Data!AC$7:AC$33)*0.0004536)</f>
        <v/>
      </c>
      <c r="E28" s="290" t="str">
        <f>IF(ISBLANK('General Information'!$C39),"",'General Information'!$E39*_xlfn.XLOOKUP('General Information'!$D39,Data!$Z$7:$Z$33,Data!AD$7:AD$33)*0.0004536)</f>
        <v/>
      </c>
      <c r="F28" s="290" t="str">
        <f>IF(ISBLANK('General Information'!$C39),"",'General Information'!$E39*_xlfn.XLOOKUP('General Information'!$D39,Data!$Z$7:$Z$33,Data!AE$7:AE$33)*0.0004536)</f>
        <v/>
      </c>
      <c r="G28" s="144"/>
      <c r="H28" s="290" t="str">
        <f>IF(ISBLANK('General Information'!C39),"",Results!D28+25*Results!E28+298*Results!F28)</f>
        <v/>
      </c>
      <c r="I28" s="144"/>
      <c r="J28" s="290" t="str">
        <f>IF(ISBLANK('Company owned Transport'!B33),"",'Company owned Transport'!B33)</f>
        <v/>
      </c>
      <c r="K28" s="294" t="str">
        <f>IF(ISBLANK('Company owned Transport'!C33),"",'Company owned Transport'!C33)</f>
        <v/>
      </c>
      <c r="L28" s="290" t="str">
        <f>IF(ISBLANK('Company owned Transport'!E33),"",_xlfn.XLOOKUP('Company owned Transport'!$D33,Data!$K$6:$K$15,Data!L$6:L$15,"")*'Company owned Transport'!$E33/1000)</f>
        <v/>
      </c>
      <c r="M28" s="144"/>
      <c r="N28" s="144"/>
      <c r="O28" s="144"/>
      <c r="P28" s="290" t="str">
        <f>IF(ISBLANK('Company owned Transport'!E33),"",Results!L28+Results!M28*25+Results!N28*298)</f>
        <v/>
      </c>
      <c r="Q28" s="144"/>
      <c r="R28" s="290" t="str">
        <f>IF(ISBLANK('General Information'!H39),"",'General Information'!B39)</f>
        <v/>
      </c>
      <c r="S28" s="290" t="str">
        <f>IF(ISBLANK('General Information'!H39),"",'General Information'!C39)</f>
        <v/>
      </c>
      <c r="T28" s="290" t="str">
        <f>IF(ISBLANK('General Information'!$H39),"",'General Information'!$H39*41*(Data!U$18+Data!U$19)/1000)</f>
        <v/>
      </c>
      <c r="U28" s="290" t="str">
        <f>IF(ISBLANK('General Information'!$H39),"",'General Information'!$H39*41*(Data!V$18+Data!V$19)/1000)</f>
        <v/>
      </c>
      <c r="V28" s="290" t="str">
        <f>IF(ISBLANK('General Information'!$H39),"",'General Information'!$H39*41*(Data!W$18+Data!W$19)/1000)</f>
        <v/>
      </c>
      <c r="W28" s="144"/>
      <c r="X28" s="290" t="str">
        <f>IF(ISBLANK('General Information'!$H39),"",Results!T28+25*Results!U28+298*Results!V28)</f>
        <v/>
      </c>
      <c r="Y28" s="144"/>
      <c r="Z28" s="290" t="str">
        <f>IF(ISBLANK('Purchased Gases &amp; Refrigerants'!$C36),"",'Purchased Gases &amp; Refrigerants'!B36)</f>
        <v/>
      </c>
      <c r="AA28" s="290" t="str">
        <f>IF(ISBLANK('Purchased Gases &amp; Refrigerants'!$C36),"",'Purchased Gases &amp; Refrigerants'!C36)</f>
        <v/>
      </c>
      <c r="AB28" s="144"/>
      <c r="AC28" s="290" t="str">
        <f>IF(ISBLANK('Purchased Gases &amp; Refrigerants'!$E36),"",_xlfn.XLOOKUP('Purchased Gases &amp; Refrigerants'!D36,Data!$AU$6:$AU$37,Data!$AV$6:$AV$37,0)*'Purchased Gases &amp; Refrigerants'!$E36*0.0004536)</f>
        <v/>
      </c>
      <c r="AD28" s="144"/>
      <c r="AE28" s="290" t="str">
        <f>IF(ISBLANK('Purchased Gases &amp; Refrigerants'!$C36),"",'Purchased Gases &amp; Refrigerants'!B36)</f>
        <v/>
      </c>
      <c r="AF28" s="290" t="str">
        <f>IF(ISBLANK('Purchased Gases &amp; Refrigerants'!$C36),"",'Purchased Gases &amp; Refrigerants'!C36)</f>
        <v/>
      </c>
      <c r="AG28" s="144"/>
      <c r="AH28" s="290" t="str">
        <f>IF(ISBLANK('Purchased Gases &amp; Refrigerants'!E36),"",_xlfn.XLOOKUP('Purchased Gases &amp; Refrigerants'!D36,Data!$AU$38:$AU$40,Data!$AV$38:$AV$40,0)*'Purchased Gases &amp; Refrigerants'!E36*0.4536)</f>
        <v/>
      </c>
      <c r="AI28" s="144"/>
      <c r="AJ28" s="290" t="str">
        <f>IF(ISBLANK('Raw Material Usage'!B33),"",'Raw Material Usage'!B33)</f>
        <v/>
      </c>
      <c r="AK28" s="290" t="str">
        <f>IF(ISBLANK('Raw Material Usage'!C33),"",'Raw Material Usage'!C33)</f>
        <v/>
      </c>
      <c r="AL28" s="144"/>
      <c r="AM28" s="290" t="str">
        <f ca="1">IF(ISBLANK('Raw Material Usage'!E33),"",OFFSET('Raw Material Calculation'!$J$11,16*1,0)/1000)</f>
        <v/>
      </c>
      <c r="AN28" s="144"/>
      <c r="AO28" s="290" t="str">
        <f>IF(ISBLANK('Raw Material Usage'!B33),"",'Raw Material Usage'!B33)</f>
        <v/>
      </c>
      <c r="AP28" s="290" t="str">
        <f>IF(ISBLANK('Raw Material Usage'!C33),"",'Raw Material Usage'!C33)</f>
        <v/>
      </c>
      <c r="AQ28" s="144"/>
      <c r="AR28" s="290" t="str">
        <f>IF(ISBLANK('Raw Material Usage'!E33),"",_xlfn.XLOOKUP('Raw Material Usage'!D33,Data!$BL$6:$BL$30,Data!$BM$6:$BM$30,0)*'Raw Material Usage'!E33/1.102)</f>
        <v/>
      </c>
      <c r="AT28" s="290" t="str">
        <f>IF(ISBLANK('Waste Disposal'!B33),"",'Waste Disposal'!B33)</f>
        <v/>
      </c>
      <c r="AU28" s="290" t="str">
        <f>IF(ISBLANK('Waste Disposal'!C33),"",'Waste Disposal'!C33)</f>
        <v/>
      </c>
      <c r="AV28" s="144"/>
      <c r="AW28" s="290" t="str">
        <f>IF(ISBLANK('Waste Disposal'!$F33),"",CHOOSE(MATCH('Waste Disposal'!E33,Data!$AO$5:$AR$5,0),_xlfn.XLOOKUP('Waste Disposal'!$D33,Data!$AN$6:$AN$65,Data!$AO$6:$AO$65),_xlfn.XLOOKUP('Waste Disposal'!$D33,Data!$AN$6:$AN$65,Data!$AP$6:$AP$65),_xlfn.XLOOKUP('Waste Disposal'!$D33,Data!$AN$6:$AN$65,Data!$AQ$6:$AQ$65),_xlfn.XLOOKUP('Waste Disposal'!$D33,Data!$AN$6:$AN$65,Data!$AR$6:$AR$65))*'Waste Disposal'!$F33)</f>
        <v/>
      </c>
      <c r="AX28" s="305"/>
    </row>
    <row r="29" spans="1:50">
      <c r="A29" s="181"/>
      <c r="B29" s="289" t="str">
        <f>IF(ISBLANK('General Information'!C40),"",'General Information'!B40)</f>
        <v/>
      </c>
      <c r="C29" s="289" t="str">
        <f>IF(ISBLANK('General Information'!C40),"",'General Information'!C40)</f>
        <v/>
      </c>
      <c r="D29" s="289" t="str">
        <f>IF(ISBLANK('General Information'!$C40),"",'General Information'!$E40*_xlfn.XLOOKUP('General Information'!$D40,Data!$Z$7:$Z$33,Data!AC$7:AC$33)*0.0004536)</f>
        <v/>
      </c>
      <c r="E29" s="289" t="str">
        <f>IF(ISBLANK('General Information'!$C40),"",'General Information'!$E40*_xlfn.XLOOKUP('General Information'!$D40,Data!$Z$7:$Z$33,Data!AD$7:AD$33)*0.0004536)</f>
        <v/>
      </c>
      <c r="F29" s="289" t="str">
        <f>IF(ISBLANK('General Information'!$C40),"",'General Information'!$E40*_xlfn.XLOOKUP('General Information'!$D40,Data!$Z$7:$Z$33,Data!AE$7:AE$33)*0.0004536)</f>
        <v/>
      </c>
      <c r="G29" s="144"/>
      <c r="H29" s="289" t="str">
        <f>IF(ISBLANK('General Information'!C40),"",Results!D29+25*Results!E29+298*Results!F29)</f>
        <v/>
      </c>
      <c r="I29" s="144"/>
      <c r="J29" s="289" t="str">
        <f>IF(ISBLANK('Company owned Transport'!B34),"",'Company owned Transport'!B34)</f>
        <v/>
      </c>
      <c r="K29" s="292" t="str">
        <f>IF(ISBLANK('Company owned Transport'!C34),"",'Company owned Transport'!C34)</f>
        <v/>
      </c>
      <c r="L29" s="289" t="str">
        <f>IF(ISBLANK('Company owned Transport'!E34),"",_xlfn.XLOOKUP('Company owned Transport'!$D34,Data!$K$6:$K$15,Data!L$6:L$15,"")*'Company owned Transport'!$E34/1000)</f>
        <v/>
      </c>
      <c r="M29" s="144"/>
      <c r="N29" s="144"/>
      <c r="O29" s="144"/>
      <c r="P29" s="289" t="str">
        <f>IF(ISBLANK('Company owned Transport'!E34),"",Results!L29+Results!M29*25+Results!N29*298)</f>
        <v/>
      </c>
      <c r="Q29" s="144"/>
      <c r="R29" s="289" t="str">
        <f>IF(ISBLANK('General Information'!H40),"",'General Information'!B40)</f>
        <v/>
      </c>
      <c r="S29" s="289" t="str">
        <f>IF(ISBLANK('General Information'!H40),"",'General Information'!C40)</f>
        <v/>
      </c>
      <c r="T29" s="289" t="str">
        <f>IF(ISBLANK('General Information'!$H40),"",'General Information'!$H40*41*(Data!U$18+Data!U$19)/1000)</f>
        <v/>
      </c>
      <c r="U29" s="289" t="str">
        <f>IF(ISBLANK('General Information'!$H40),"",'General Information'!$H40*41*(Data!V$18+Data!V$19)/1000)</f>
        <v/>
      </c>
      <c r="V29" s="289" t="str">
        <f>IF(ISBLANK('General Information'!$H40),"",'General Information'!$H40*41*(Data!W$18+Data!W$19)/1000)</f>
        <v/>
      </c>
      <c r="W29" s="144"/>
      <c r="X29" s="289" t="str">
        <f>IF(ISBLANK('General Information'!$H40),"",Results!T29+25*Results!U29+298*Results!V29)</f>
        <v/>
      </c>
      <c r="Y29" s="144"/>
      <c r="Z29" s="289" t="str">
        <f>IF(ISBLANK('Purchased Gases &amp; Refrigerants'!$C37),"",'Purchased Gases &amp; Refrigerants'!B37)</f>
        <v/>
      </c>
      <c r="AA29" s="289" t="str">
        <f>IF(ISBLANK('Purchased Gases &amp; Refrigerants'!$C37),"",'Purchased Gases &amp; Refrigerants'!C37)</f>
        <v/>
      </c>
      <c r="AB29" s="144"/>
      <c r="AC29" s="289" t="str">
        <f>IF(ISBLANK('Purchased Gases &amp; Refrigerants'!$E37),"",_xlfn.XLOOKUP('Purchased Gases &amp; Refrigerants'!D37,Data!$AU$6:$AU$37,Data!$AV$6:$AV$37,0)*'Purchased Gases &amp; Refrigerants'!$E37*0.0004536)</f>
        <v/>
      </c>
      <c r="AD29" s="144"/>
      <c r="AE29" s="289" t="str">
        <f>IF(ISBLANK('Purchased Gases &amp; Refrigerants'!$C37),"",'Purchased Gases &amp; Refrigerants'!B37)</f>
        <v/>
      </c>
      <c r="AF29" s="289" t="str">
        <f>IF(ISBLANK('Purchased Gases &amp; Refrigerants'!$C37),"",'Purchased Gases &amp; Refrigerants'!C37)</f>
        <v/>
      </c>
      <c r="AG29" s="144"/>
      <c r="AH29" s="289" t="str">
        <f>IF(ISBLANK('Purchased Gases &amp; Refrigerants'!E37),"",_xlfn.XLOOKUP('Purchased Gases &amp; Refrigerants'!D37,Data!$AU$38:$AU$40,Data!$AV$38:$AV$40,0)*'Purchased Gases &amp; Refrigerants'!E37*0.4536)</f>
        <v/>
      </c>
      <c r="AI29" s="144"/>
      <c r="AJ29" s="289" t="str">
        <f>IF(ISBLANK('Raw Material Usage'!B34),"",'Raw Material Usage'!B34)</f>
        <v/>
      </c>
      <c r="AK29" s="289" t="str">
        <f>IF(ISBLANK('Raw Material Usage'!C34),"",'Raw Material Usage'!C34)</f>
        <v/>
      </c>
      <c r="AL29" s="144"/>
      <c r="AM29" s="289" t="str">
        <f ca="1">IF(ISBLANK('Raw Material Usage'!E34),"",OFFSET('Raw Material Calculation'!$J$11,16*1,0)/1000)</f>
        <v/>
      </c>
      <c r="AN29" s="144"/>
      <c r="AO29" s="289" t="str">
        <f>IF(ISBLANK('Raw Material Usage'!B34),"",'Raw Material Usage'!B34)</f>
        <v/>
      </c>
      <c r="AP29" s="289" t="str">
        <f>IF(ISBLANK('Raw Material Usage'!C34),"",'Raw Material Usage'!C34)</f>
        <v/>
      </c>
      <c r="AQ29" s="144"/>
      <c r="AR29" s="289" t="str">
        <f>IF(ISBLANK('Raw Material Usage'!E34),"",_xlfn.XLOOKUP('Raw Material Usage'!D34,Data!$BL$6:$BL$30,Data!$BM$6:$BM$30,0)*'Raw Material Usage'!E34/1.102)</f>
        <v/>
      </c>
      <c r="AT29" s="289" t="str">
        <f>IF(ISBLANK('Waste Disposal'!B34),"",'Waste Disposal'!B34)</f>
        <v/>
      </c>
      <c r="AU29" s="289" t="str">
        <f>IF(ISBLANK('Waste Disposal'!C34),"",'Waste Disposal'!C34)</f>
        <v/>
      </c>
      <c r="AV29" s="144"/>
      <c r="AW29" s="289" t="str">
        <f>IF(ISBLANK('Waste Disposal'!$F34),"",CHOOSE(MATCH('Waste Disposal'!E34,Data!$AO$5:$AR$5,0),_xlfn.XLOOKUP('Waste Disposal'!$D34,Data!$AN$6:$AN$65,Data!$AO$6:$AO$65),_xlfn.XLOOKUP('Waste Disposal'!$D34,Data!$AN$6:$AN$65,Data!$AP$6:$AP$65),_xlfn.XLOOKUP('Waste Disposal'!$D34,Data!$AN$6:$AN$65,Data!$AQ$6:$AQ$65),_xlfn.XLOOKUP('Waste Disposal'!$D34,Data!$AN$6:$AN$65,Data!$AR$6:$AR$65))*'Waste Disposal'!$F34)</f>
        <v/>
      </c>
      <c r="AX29" s="305"/>
    </row>
    <row r="30" spans="1:50">
      <c r="A30" s="181"/>
      <c r="B30" s="290" t="str">
        <f>IF(ISBLANK('General Information'!C41),"",'General Information'!B41)</f>
        <v/>
      </c>
      <c r="C30" s="290" t="str">
        <f>IF(ISBLANK('General Information'!C41),"",'General Information'!C41)</f>
        <v/>
      </c>
      <c r="D30" s="290" t="str">
        <f>IF(ISBLANK('General Information'!$C41),"",'General Information'!$E41*_xlfn.XLOOKUP('General Information'!$D41,Data!$Z$7:$Z$33,Data!AC$7:AC$33)*0.0004536)</f>
        <v/>
      </c>
      <c r="E30" s="290" t="str">
        <f>IF(ISBLANK('General Information'!$C41),"",'General Information'!$E41*_xlfn.XLOOKUP('General Information'!$D41,Data!$Z$7:$Z$33,Data!AD$7:AD$33)*0.0004536)</f>
        <v/>
      </c>
      <c r="F30" s="290" t="str">
        <f>IF(ISBLANK('General Information'!$C41),"",'General Information'!$E41*_xlfn.XLOOKUP('General Information'!$D41,Data!$Z$7:$Z$33,Data!AE$7:AE$33)*0.0004536)</f>
        <v/>
      </c>
      <c r="G30" s="144"/>
      <c r="H30" s="290" t="str">
        <f>IF(ISBLANK('General Information'!C41),"",Results!D30+25*Results!E30+298*Results!F30)</f>
        <v/>
      </c>
      <c r="I30" s="144"/>
      <c r="J30" s="290" t="str">
        <f>IF(ISBLANK('Company owned Transport'!B35),"",'Company owned Transport'!B35)</f>
        <v/>
      </c>
      <c r="K30" s="294" t="str">
        <f>IF(ISBLANK('Company owned Transport'!C35),"",'Company owned Transport'!C35)</f>
        <v/>
      </c>
      <c r="L30" s="290" t="str">
        <f>IF(ISBLANK('Company owned Transport'!E35),"",_xlfn.XLOOKUP('Company owned Transport'!$D35,Data!$K$6:$K$15,Data!L$6:L$15,"")*'Company owned Transport'!$E35/1000)</f>
        <v/>
      </c>
      <c r="M30" s="144"/>
      <c r="N30" s="144"/>
      <c r="O30" s="144"/>
      <c r="P30" s="290" t="str">
        <f>IF(ISBLANK('Company owned Transport'!E35),"",Results!L30+Results!M30*25+Results!N30*298)</f>
        <v/>
      </c>
      <c r="Q30" s="144"/>
      <c r="R30" s="290" t="str">
        <f>IF(ISBLANK('General Information'!H41),"",'General Information'!B41)</f>
        <v/>
      </c>
      <c r="S30" s="290" t="str">
        <f>IF(ISBLANK('General Information'!H41),"",'General Information'!C41)</f>
        <v/>
      </c>
      <c r="T30" s="290" t="str">
        <f>IF(ISBLANK('General Information'!$H41),"",'General Information'!$H41*41*(Data!U$18+Data!U$19)/1000)</f>
        <v/>
      </c>
      <c r="U30" s="290" t="str">
        <f>IF(ISBLANK('General Information'!$H41),"",'General Information'!$H41*41*(Data!V$18+Data!V$19)/1000)</f>
        <v/>
      </c>
      <c r="V30" s="290" t="str">
        <f>IF(ISBLANK('General Information'!$H41),"",'General Information'!$H41*41*(Data!W$18+Data!W$19)/1000)</f>
        <v/>
      </c>
      <c r="W30" s="144"/>
      <c r="X30" s="290" t="str">
        <f>IF(ISBLANK('General Information'!$H41),"",Results!T30+25*Results!U30+298*Results!V30)</f>
        <v/>
      </c>
      <c r="Y30" s="144"/>
      <c r="Z30" s="290" t="str">
        <f>IF(ISBLANK('Purchased Gases &amp; Refrigerants'!$C38),"",'Purchased Gases &amp; Refrigerants'!B38)</f>
        <v/>
      </c>
      <c r="AA30" s="290" t="str">
        <f>IF(ISBLANK('Purchased Gases &amp; Refrigerants'!$C38),"",'Purchased Gases &amp; Refrigerants'!C38)</f>
        <v/>
      </c>
      <c r="AB30" s="144"/>
      <c r="AC30" s="290" t="str">
        <f>IF(ISBLANK('Purchased Gases &amp; Refrigerants'!$E38),"",_xlfn.XLOOKUP('Purchased Gases &amp; Refrigerants'!D38,Data!$AU$6:$AU$37,Data!$AV$6:$AV$37,0)*'Purchased Gases &amp; Refrigerants'!$E38*0.0004536)</f>
        <v/>
      </c>
      <c r="AD30" s="144"/>
      <c r="AE30" s="290" t="str">
        <f>IF(ISBLANK('Purchased Gases &amp; Refrigerants'!$C38),"",'Purchased Gases &amp; Refrigerants'!B38)</f>
        <v/>
      </c>
      <c r="AF30" s="290" t="str">
        <f>IF(ISBLANK('Purchased Gases &amp; Refrigerants'!$C38),"",'Purchased Gases &amp; Refrigerants'!C38)</f>
        <v/>
      </c>
      <c r="AG30" s="144"/>
      <c r="AH30" s="290" t="str">
        <f>IF(ISBLANK('Purchased Gases &amp; Refrigerants'!E38),"",_xlfn.XLOOKUP('Purchased Gases &amp; Refrigerants'!D38,Data!$AU$38:$AU$40,Data!$AV$38:$AV$40,0)*'Purchased Gases &amp; Refrigerants'!E38*0.4536)</f>
        <v/>
      </c>
      <c r="AI30" s="144"/>
      <c r="AJ30" s="290" t="str">
        <f>IF(ISBLANK('Raw Material Usage'!B35),"",'Raw Material Usage'!B35)</f>
        <v/>
      </c>
      <c r="AK30" s="290" t="str">
        <f>IF(ISBLANK('Raw Material Usage'!C35),"",'Raw Material Usage'!C35)</f>
        <v/>
      </c>
      <c r="AL30" s="144"/>
      <c r="AM30" s="290" t="str">
        <f ca="1">IF(ISBLANK('Raw Material Usage'!E35),"",OFFSET('Raw Material Calculation'!$J$11,16*1,0)/1000)</f>
        <v/>
      </c>
      <c r="AN30" s="144"/>
      <c r="AO30" s="290" t="str">
        <f>IF(ISBLANK('Raw Material Usage'!B35),"",'Raw Material Usage'!B35)</f>
        <v/>
      </c>
      <c r="AP30" s="290" t="str">
        <f>IF(ISBLANK('Raw Material Usage'!C35),"",'Raw Material Usage'!C35)</f>
        <v/>
      </c>
      <c r="AQ30" s="144"/>
      <c r="AR30" s="290" t="str">
        <f>IF(ISBLANK('Raw Material Usage'!E35),"",_xlfn.XLOOKUP('Raw Material Usage'!D35,Data!$BL$6:$BL$30,Data!$BM$6:$BM$30,0)*'Raw Material Usage'!E35/1.102)</f>
        <v/>
      </c>
      <c r="AT30" s="290" t="str">
        <f>IF(ISBLANK('Waste Disposal'!B35),"",'Waste Disposal'!B35)</f>
        <v/>
      </c>
      <c r="AU30" s="290" t="str">
        <f>IF(ISBLANK('Waste Disposal'!C35),"",'Waste Disposal'!C35)</f>
        <v/>
      </c>
      <c r="AV30" s="144"/>
      <c r="AW30" s="290" t="str">
        <f>IF(ISBLANK('Waste Disposal'!$F35),"",CHOOSE(MATCH('Waste Disposal'!E35,Data!$AO$5:$AR$5,0),_xlfn.XLOOKUP('Waste Disposal'!$D35,Data!$AN$6:$AN$65,Data!$AO$6:$AO$65),_xlfn.XLOOKUP('Waste Disposal'!$D35,Data!$AN$6:$AN$65,Data!$AP$6:$AP$65),_xlfn.XLOOKUP('Waste Disposal'!$D35,Data!$AN$6:$AN$65,Data!$AQ$6:$AQ$65),_xlfn.XLOOKUP('Waste Disposal'!$D35,Data!$AN$6:$AN$65,Data!$AR$6:$AR$65))*'Waste Disposal'!$F35)</f>
        <v/>
      </c>
      <c r="AX30" s="305"/>
    </row>
    <row r="31" spans="1:50">
      <c r="A31" s="181"/>
      <c r="B31" s="289" t="str">
        <f>IF(ISBLANK('General Information'!C42),"",'General Information'!B42)</f>
        <v/>
      </c>
      <c r="C31" s="289" t="str">
        <f>IF(ISBLANK('General Information'!C42),"",'General Information'!C42)</f>
        <v/>
      </c>
      <c r="D31" s="289" t="str">
        <f>IF(ISBLANK('General Information'!$C42),"",'General Information'!$E42*_xlfn.XLOOKUP('General Information'!$D42,Data!$Z$7:$Z$33,Data!AC$7:AC$33)*0.0004536)</f>
        <v/>
      </c>
      <c r="E31" s="289" t="str">
        <f>IF(ISBLANK('General Information'!$C42),"",'General Information'!$E42*_xlfn.XLOOKUP('General Information'!$D42,Data!$Z$7:$Z$33,Data!AD$7:AD$33)*0.0004536)</f>
        <v/>
      </c>
      <c r="F31" s="289" t="str">
        <f>IF(ISBLANK('General Information'!$C42),"",'General Information'!$E42*_xlfn.XLOOKUP('General Information'!$D42,Data!$Z$7:$Z$33,Data!AE$7:AE$33)*0.0004536)</f>
        <v/>
      </c>
      <c r="G31" s="144"/>
      <c r="H31" s="289" t="str">
        <f>IF(ISBLANK('General Information'!C42),"",Results!D31+25*Results!E31+298*Results!F31)</f>
        <v/>
      </c>
      <c r="I31" s="144"/>
      <c r="J31" s="289" t="str">
        <f>IF(ISBLANK('Company owned Transport'!B36),"",'Company owned Transport'!B36)</f>
        <v/>
      </c>
      <c r="K31" s="292" t="str">
        <f>IF(ISBLANK('Company owned Transport'!C36),"",'Company owned Transport'!C36)</f>
        <v/>
      </c>
      <c r="L31" s="289" t="str">
        <f>IF(ISBLANK('Company owned Transport'!E36),"",_xlfn.XLOOKUP('Company owned Transport'!$D36,Data!$K$6:$K$15,Data!L$6:L$15,"")*'Company owned Transport'!$E36/1000)</f>
        <v/>
      </c>
      <c r="M31" s="144"/>
      <c r="N31" s="144"/>
      <c r="O31" s="144"/>
      <c r="P31" s="289" t="str">
        <f>IF(ISBLANK('Company owned Transport'!E36),"",Results!L31+Results!M31*25+Results!N31*298)</f>
        <v/>
      </c>
      <c r="Q31" s="144"/>
      <c r="R31" s="289" t="str">
        <f>IF(ISBLANK('General Information'!H42),"",'General Information'!B42)</f>
        <v/>
      </c>
      <c r="S31" s="289" t="str">
        <f>IF(ISBLANK('General Information'!H42),"",'General Information'!C42)</f>
        <v/>
      </c>
      <c r="T31" s="289" t="str">
        <f>IF(ISBLANK('General Information'!$H42),"",'General Information'!$H42*41*(Data!U$18+Data!U$19)/1000)</f>
        <v/>
      </c>
      <c r="U31" s="289" t="str">
        <f>IF(ISBLANK('General Information'!$H42),"",'General Information'!$H42*41*(Data!V$18+Data!V$19)/1000)</f>
        <v/>
      </c>
      <c r="V31" s="289" t="str">
        <f>IF(ISBLANK('General Information'!$H42),"",'General Information'!$H42*41*(Data!W$18+Data!W$19)/1000)</f>
        <v/>
      </c>
      <c r="W31" s="144"/>
      <c r="X31" s="289" t="str">
        <f>IF(ISBLANK('General Information'!$H42),"",Results!T31+25*Results!U31+298*Results!V31)</f>
        <v/>
      </c>
      <c r="Y31" s="144"/>
      <c r="Z31" s="289" t="str">
        <f>IF(ISBLANK('Purchased Gases &amp; Refrigerants'!$C39),"",'Purchased Gases &amp; Refrigerants'!B39)</f>
        <v/>
      </c>
      <c r="AA31" s="289" t="str">
        <f>IF(ISBLANK('Purchased Gases &amp; Refrigerants'!$C39),"",'Purchased Gases &amp; Refrigerants'!C39)</f>
        <v/>
      </c>
      <c r="AB31" s="144"/>
      <c r="AC31" s="289" t="str">
        <f>IF(ISBLANK('Purchased Gases &amp; Refrigerants'!$E39),"",_xlfn.XLOOKUP('Purchased Gases &amp; Refrigerants'!D39,Data!$AU$6:$AU$37,Data!$AV$6:$AV$37,0)*'Purchased Gases &amp; Refrigerants'!$E39*0.0004536)</f>
        <v/>
      </c>
      <c r="AD31" s="144"/>
      <c r="AE31" s="289" t="str">
        <f>IF(ISBLANK('Purchased Gases &amp; Refrigerants'!$C39),"",'Purchased Gases &amp; Refrigerants'!B39)</f>
        <v/>
      </c>
      <c r="AF31" s="289" t="str">
        <f>IF(ISBLANK('Purchased Gases &amp; Refrigerants'!$C39),"",'Purchased Gases &amp; Refrigerants'!C39)</f>
        <v/>
      </c>
      <c r="AG31" s="144"/>
      <c r="AH31" s="289" t="str">
        <f>IF(ISBLANK('Purchased Gases &amp; Refrigerants'!E39),"",_xlfn.XLOOKUP('Purchased Gases &amp; Refrigerants'!D39,Data!$AU$38:$AU$40,Data!$AV$38:$AV$40,0)*'Purchased Gases &amp; Refrigerants'!E39*0.4536)</f>
        <v/>
      </c>
      <c r="AI31" s="144"/>
      <c r="AJ31" s="289" t="str">
        <f>IF(ISBLANK('Raw Material Usage'!B36),"",'Raw Material Usage'!B36)</f>
        <v/>
      </c>
      <c r="AK31" s="289" t="str">
        <f>IF(ISBLANK('Raw Material Usage'!C36),"",'Raw Material Usage'!C36)</f>
        <v/>
      </c>
      <c r="AL31" s="144"/>
      <c r="AM31" s="289" t="str">
        <f ca="1">IF(ISBLANK('Raw Material Usage'!E36),"",OFFSET('Raw Material Calculation'!$J$11,16*1,0)/1000)</f>
        <v/>
      </c>
      <c r="AN31" s="144"/>
      <c r="AO31" s="289" t="str">
        <f>IF(ISBLANK('Raw Material Usage'!B36),"",'Raw Material Usage'!B36)</f>
        <v/>
      </c>
      <c r="AP31" s="289" t="str">
        <f>IF(ISBLANK('Raw Material Usage'!C36),"",'Raw Material Usage'!C36)</f>
        <v/>
      </c>
      <c r="AQ31" s="144"/>
      <c r="AR31" s="289" t="str">
        <f>IF(ISBLANK('Raw Material Usage'!E36),"",_xlfn.XLOOKUP('Raw Material Usage'!D36,Data!$BL$6:$BL$30,Data!$BM$6:$BM$30,0)*'Raw Material Usage'!E36/1.102)</f>
        <v/>
      </c>
      <c r="AT31" s="289" t="str">
        <f>IF(ISBLANK('Waste Disposal'!B36),"",'Waste Disposal'!B36)</f>
        <v/>
      </c>
      <c r="AU31" s="289" t="str">
        <f>IF(ISBLANK('Waste Disposal'!C36),"",'Waste Disposal'!C36)</f>
        <v/>
      </c>
      <c r="AV31" s="144"/>
      <c r="AW31" s="289" t="str">
        <f>IF(ISBLANK('Waste Disposal'!$F36),"",CHOOSE(MATCH('Waste Disposal'!E36,Data!$AO$5:$AR$5,0),_xlfn.XLOOKUP('Waste Disposal'!$D36,Data!$AN$6:$AN$65,Data!$AO$6:$AO$65),_xlfn.XLOOKUP('Waste Disposal'!$D36,Data!$AN$6:$AN$65,Data!$AP$6:$AP$65),_xlfn.XLOOKUP('Waste Disposal'!$D36,Data!$AN$6:$AN$65,Data!$AQ$6:$AQ$65),_xlfn.XLOOKUP('Waste Disposal'!$D36,Data!$AN$6:$AN$65,Data!$AR$6:$AR$65))*'Waste Disposal'!$F36)</f>
        <v/>
      </c>
      <c r="AX31" s="305"/>
    </row>
    <row r="32" spans="1:50">
      <c r="A32" s="181"/>
      <c r="B32" s="290" t="str">
        <f>IF(ISBLANK('General Information'!C43),"",'General Information'!B43)</f>
        <v/>
      </c>
      <c r="C32" s="290" t="str">
        <f>IF(ISBLANK('General Information'!C43),"",'General Information'!C43)</f>
        <v/>
      </c>
      <c r="D32" s="290" t="str">
        <f>IF(ISBLANK('General Information'!$C43),"",'General Information'!$E43*_xlfn.XLOOKUP('General Information'!$D43,Data!$Z$7:$Z$33,Data!AC$7:AC$33)*0.0004536)</f>
        <v/>
      </c>
      <c r="E32" s="290" t="str">
        <f>IF(ISBLANK('General Information'!$C43),"",'General Information'!$E43*_xlfn.XLOOKUP('General Information'!$D43,Data!$Z$7:$Z$33,Data!AD$7:AD$33)*0.0004536)</f>
        <v/>
      </c>
      <c r="F32" s="290" t="str">
        <f>IF(ISBLANK('General Information'!$C43),"",'General Information'!$E43*_xlfn.XLOOKUP('General Information'!$D43,Data!$Z$7:$Z$33,Data!AE$7:AE$33)*0.0004536)</f>
        <v/>
      </c>
      <c r="G32" s="144"/>
      <c r="H32" s="290" t="str">
        <f>IF(ISBLANK('General Information'!C43),"",Results!D32+25*Results!E32+298*Results!F32)</f>
        <v/>
      </c>
      <c r="I32" s="144"/>
      <c r="J32" s="290" t="str">
        <f>IF(ISBLANK('Company owned Transport'!B37),"",'Company owned Transport'!B37)</f>
        <v/>
      </c>
      <c r="K32" s="294" t="str">
        <f>IF(ISBLANK('Company owned Transport'!C37),"",'Company owned Transport'!C37)</f>
        <v/>
      </c>
      <c r="L32" s="290" t="str">
        <f>IF(ISBLANK('Company owned Transport'!E37),"",_xlfn.XLOOKUP('Company owned Transport'!$D37,Data!$K$6:$K$15,Data!L$6:L$15,"")*'Company owned Transport'!$E37/1000)</f>
        <v/>
      </c>
      <c r="M32" s="144"/>
      <c r="N32" s="144"/>
      <c r="O32" s="144"/>
      <c r="P32" s="290" t="str">
        <f>IF(ISBLANK('Company owned Transport'!E37),"",Results!L32+Results!M32*25+Results!N32*298)</f>
        <v/>
      </c>
      <c r="Q32" s="144"/>
      <c r="R32" s="290" t="str">
        <f>IF(ISBLANK('General Information'!H43),"",'General Information'!B43)</f>
        <v/>
      </c>
      <c r="S32" s="290" t="str">
        <f>IF(ISBLANK('General Information'!H43),"",'General Information'!C43)</f>
        <v/>
      </c>
      <c r="T32" s="290" t="str">
        <f>IF(ISBLANK('General Information'!$H43),"",'General Information'!$H43*41*(Data!U$18+Data!U$19)/1000)</f>
        <v/>
      </c>
      <c r="U32" s="290" t="str">
        <f>IF(ISBLANK('General Information'!$H43),"",'General Information'!$H43*41*(Data!V$18+Data!V$19)/1000)</f>
        <v/>
      </c>
      <c r="V32" s="290" t="str">
        <f>IF(ISBLANK('General Information'!$H43),"",'General Information'!$H43*41*(Data!W$18+Data!W$19)/1000)</f>
        <v/>
      </c>
      <c r="W32" s="144"/>
      <c r="X32" s="290" t="str">
        <f>IF(ISBLANK('General Information'!$H43),"",Results!T32+25*Results!U32+298*Results!V32)</f>
        <v/>
      </c>
      <c r="Y32" s="144"/>
      <c r="Z32" s="290" t="str">
        <f>IF(ISBLANK('Purchased Gases &amp; Refrigerants'!$C40),"",'Purchased Gases &amp; Refrigerants'!B40)</f>
        <v/>
      </c>
      <c r="AA32" s="290" t="str">
        <f>IF(ISBLANK('Purchased Gases &amp; Refrigerants'!$C40),"",'Purchased Gases &amp; Refrigerants'!C40)</f>
        <v/>
      </c>
      <c r="AB32" s="144"/>
      <c r="AC32" s="290" t="str">
        <f>IF(ISBLANK('Purchased Gases &amp; Refrigerants'!$E40),"",_xlfn.XLOOKUP('Purchased Gases &amp; Refrigerants'!D40,Data!$AU$6:$AU$37,Data!$AV$6:$AV$37,0)*'Purchased Gases &amp; Refrigerants'!$E40*0.0004536)</f>
        <v/>
      </c>
      <c r="AD32" s="144"/>
      <c r="AE32" s="290" t="str">
        <f>IF(ISBLANK('Purchased Gases &amp; Refrigerants'!$C40),"",'Purchased Gases &amp; Refrigerants'!B40)</f>
        <v/>
      </c>
      <c r="AF32" s="290" t="str">
        <f>IF(ISBLANK('Purchased Gases &amp; Refrigerants'!$C40),"",'Purchased Gases &amp; Refrigerants'!C40)</f>
        <v/>
      </c>
      <c r="AG32" s="144"/>
      <c r="AH32" s="290" t="str">
        <f>IF(ISBLANK('Purchased Gases &amp; Refrigerants'!E40),"",_xlfn.XLOOKUP('Purchased Gases &amp; Refrigerants'!D40,Data!$AU$38:$AU$40,Data!$AV$38:$AV$40,0)*'Purchased Gases &amp; Refrigerants'!E40*0.4536)</f>
        <v/>
      </c>
      <c r="AI32" s="144"/>
      <c r="AJ32" s="290" t="str">
        <f>IF(ISBLANK('Raw Material Usage'!B37),"",'Raw Material Usage'!B37)</f>
        <v/>
      </c>
      <c r="AK32" s="290" t="str">
        <f>IF(ISBLANK('Raw Material Usage'!C37),"",'Raw Material Usage'!C37)</f>
        <v/>
      </c>
      <c r="AL32" s="144"/>
      <c r="AM32" s="290" t="str">
        <f ca="1">IF(ISBLANK('Raw Material Usage'!E37),"",OFFSET('Raw Material Calculation'!$J$11,16*1,0)/1000)</f>
        <v/>
      </c>
      <c r="AN32" s="144"/>
      <c r="AO32" s="290" t="str">
        <f>IF(ISBLANK('Raw Material Usage'!B37),"",'Raw Material Usage'!B37)</f>
        <v/>
      </c>
      <c r="AP32" s="290" t="str">
        <f>IF(ISBLANK('Raw Material Usage'!C37),"",'Raw Material Usage'!C37)</f>
        <v/>
      </c>
      <c r="AQ32" s="144"/>
      <c r="AR32" s="290" t="str">
        <f>IF(ISBLANK('Raw Material Usage'!E37),"",_xlfn.XLOOKUP('Raw Material Usage'!D37,Data!$BL$6:$BL$30,Data!$BM$6:$BM$30,0)*'Raw Material Usage'!E37/1.102)</f>
        <v/>
      </c>
      <c r="AT32" s="290" t="str">
        <f>IF(ISBLANK('Waste Disposal'!B37),"",'Waste Disposal'!B37)</f>
        <v/>
      </c>
      <c r="AU32" s="290" t="str">
        <f>IF(ISBLANK('Waste Disposal'!C37),"",'Waste Disposal'!C37)</f>
        <v/>
      </c>
      <c r="AV32" s="144"/>
      <c r="AW32" s="290" t="str">
        <f>IF(ISBLANK('Waste Disposal'!$F37),"",CHOOSE(MATCH('Waste Disposal'!E37,Data!$AO$5:$AR$5,0),_xlfn.XLOOKUP('Waste Disposal'!$D37,Data!$AN$6:$AN$65,Data!$AO$6:$AO$65),_xlfn.XLOOKUP('Waste Disposal'!$D37,Data!$AN$6:$AN$65,Data!$AP$6:$AP$65),_xlfn.XLOOKUP('Waste Disposal'!$D37,Data!$AN$6:$AN$65,Data!$AQ$6:$AQ$65),_xlfn.XLOOKUP('Waste Disposal'!$D37,Data!$AN$6:$AN$65,Data!$AR$6:$AR$65))*'Waste Disposal'!$F37)</f>
        <v/>
      </c>
      <c r="AX32" s="305"/>
    </row>
    <row r="33" spans="1:50">
      <c r="A33" s="181"/>
      <c r="B33" s="289">
        <f>IF(ISBLANK('General Information'!C44),"",'General Information'!B44)</f>
        <v>3</v>
      </c>
      <c r="C33" s="289" t="str">
        <f>IF(ISBLANK('General Information'!C44),"",'General Information'!C44)</f>
        <v>Alaska Plant 3</v>
      </c>
      <c r="D33" s="289">
        <f>IF(ISBLANK('General Information'!$C44),"",'General Information'!$E44*_xlfn.XLOOKUP('General Information'!$D44,Data!$Z$7:$Z$33,Data!AC$7:AC$33)*0.0004536)</f>
        <v>3301.3008</v>
      </c>
      <c r="E33" s="289">
        <f>IF(ISBLANK('General Information'!$C44),"",'General Information'!$E44*_xlfn.XLOOKUP('General Information'!$D44,Data!$Z$7:$Z$33,Data!AD$7:AD$33)*0.0004536)</f>
        <v>0.1701</v>
      </c>
      <c r="F33" s="289">
        <f>IF(ISBLANK('General Information'!$C44),"",'General Information'!$E44*_xlfn.XLOOKUP('General Information'!$D44,Data!$Z$7:$Z$33,Data!AE$7:AE$33)*0.0004536)</f>
        <v>2.7216000000000001E-2</v>
      </c>
      <c r="G33" s="144"/>
      <c r="H33" s="289">
        <f>IF(ISBLANK('General Information'!C44),"",Results!D33+25*Results!E33+298*Results!F33)</f>
        <v>3313.6636680000001</v>
      </c>
      <c r="I33" s="144"/>
      <c r="J33" s="289" t="str">
        <f>IF(ISBLANK('Company owned Transport'!B38),"",'Company owned Transport'!B38)</f>
        <v/>
      </c>
      <c r="K33" s="292" t="str">
        <f>IF(ISBLANK('Company owned Transport'!C38),"",'Company owned Transport'!C38)</f>
        <v/>
      </c>
      <c r="L33" s="289" t="str">
        <f>IF(ISBLANK('Company owned Transport'!E38),"",_xlfn.XLOOKUP('Company owned Transport'!$D38,Data!$K$6:$K$15,Data!L$6:L$15,"")*'Company owned Transport'!$E38/1000)</f>
        <v/>
      </c>
      <c r="M33" s="144"/>
      <c r="N33" s="144"/>
      <c r="O33" s="144"/>
      <c r="P33" s="289" t="str">
        <f>IF(ISBLANK('Company owned Transport'!E38),"",Results!L33+Results!M33*25+Results!N33*298)</f>
        <v/>
      </c>
      <c r="Q33" s="144"/>
      <c r="R33" s="289">
        <f>IF(ISBLANK('General Information'!H44),"",'General Information'!B44)</f>
        <v>3</v>
      </c>
      <c r="S33" s="289" t="str">
        <f>IF(ISBLANK('General Information'!H44),"",'General Information'!C44)</f>
        <v>Alaska Plant 3</v>
      </c>
      <c r="T33" s="289">
        <f>IF(ISBLANK('General Information'!$H44),"",'General Information'!$H44*41*(Data!U$18+Data!U$19)/1000)</f>
        <v>0.17958143500000001</v>
      </c>
      <c r="U33" s="289">
        <f>IF(ISBLANK('General Information'!$H44),"",'General Information'!$H44*41*(Data!V$18+Data!V$19)/1000)</f>
        <v>2.4638540000000004E-2</v>
      </c>
      <c r="V33" s="289">
        <f>IF(ISBLANK('General Information'!$H44),"",'General Information'!$H44*41*(Data!W$18+Data!W$19)/1000)</f>
        <v>7.0805975000000007E-3</v>
      </c>
      <c r="W33" s="144"/>
      <c r="X33" s="289">
        <f>IF(ISBLANK('General Information'!$H44),"",Results!T33+25*Results!U33+298*Results!V33)</f>
        <v>2.9055629900000004</v>
      </c>
      <c r="Y33" s="144"/>
      <c r="Z33" s="289" t="str">
        <f>IF(ISBLANK('Purchased Gases &amp; Refrigerants'!$C41),"",'Purchased Gases &amp; Refrigerants'!B41)</f>
        <v/>
      </c>
      <c r="AA33" s="289" t="str">
        <f>IF(ISBLANK('Purchased Gases &amp; Refrigerants'!$C41),"",'Purchased Gases &amp; Refrigerants'!C41)</f>
        <v/>
      </c>
      <c r="AB33" s="144"/>
      <c r="AC33" s="289" t="str">
        <f>IF(ISBLANK('Purchased Gases &amp; Refrigerants'!$E41),"",_xlfn.XLOOKUP('Purchased Gases &amp; Refrigerants'!D41,Data!$AU$6:$AU$37,Data!$AV$6:$AV$37,0)*'Purchased Gases &amp; Refrigerants'!$E41*0.0004536)</f>
        <v/>
      </c>
      <c r="AD33" s="144"/>
      <c r="AE33" s="289" t="str">
        <f>IF(ISBLANK('Purchased Gases &amp; Refrigerants'!$C41),"",'Purchased Gases &amp; Refrigerants'!B41)</f>
        <v/>
      </c>
      <c r="AF33" s="289" t="str">
        <f>IF(ISBLANK('Purchased Gases &amp; Refrigerants'!$C41),"",'Purchased Gases &amp; Refrigerants'!C41)</f>
        <v/>
      </c>
      <c r="AG33" s="144"/>
      <c r="AH33" s="289" t="str">
        <f>IF(ISBLANK('Purchased Gases &amp; Refrigerants'!E41),"",_xlfn.XLOOKUP('Purchased Gases &amp; Refrigerants'!D41,Data!$AU$38:$AU$40,Data!$AV$38:$AV$40,0)*'Purchased Gases &amp; Refrigerants'!E41*0.4536)</f>
        <v/>
      </c>
      <c r="AI33" s="144"/>
      <c r="AJ33" s="289" t="str">
        <f>IF(ISBLANK('Raw Material Usage'!B38),"",'Raw Material Usage'!B38)</f>
        <v/>
      </c>
      <c r="AK33" s="289" t="str">
        <f>IF(ISBLANK('Raw Material Usage'!C38),"",'Raw Material Usage'!C38)</f>
        <v/>
      </c>
      <c r="AL33" s="144"/>
      <c r="AM33" s="289" t="str">
        <f ca="1">IF(ISBLANK('Raw Material Usage'!E38),"",OFFSET('Raw Material Calculation'!$J$11,16*1,0)/1000)</f>
        <v/>
      </c>
      <c r="AN33" s="144"/>
      <c r="AO33" s="289" t="str">
        <f>IF(ISBLANK('Raw Material Usage'!B38),"",'Raw Material Usage'!B38)</f>
        <v/>
      </c>
      <c r="AP33" s="289" t="str">
        <f>IF(ISBLANK('Raw Material Usage'!C38),"",'Raw Material Usage'!C38)</f>
        <v/>
      </c>
      <c r="AQ33" s="144"/>
      <c r="AR33" s="289" t="str">
        <f>IF(ISBLANK('Raw Material Usage'!E38),"",_xlfn.XLOOKUP('Raw Material Usage'!D38,Data!$BL$6:$BL$30,Data!$BM$6:$BM$30,0)*'Raw Material Usage'!E38/1.102)</f>
        <v/>
      </c>
      <c r="AT33" s="289" t="str">
        <f>IF(ISBLANK('Waste Disposal'!B38),"",'Waste Disposal'!B38)</f>
        <v/>
      </c>
      <c r="AU33" s="289" t="str">
        <f>IF(ISBLANK('Waste Disposal'!C38),"",'Waste Disposal'!C38)</f>
        <v/>
      </c>
      <c r="AV33" s="144"/>
      <c r="AW33" s="289" t="str">
        <f>IF(ISBLANK('Waste Disposal'!$F38),"",CHOOSE(MATCH('Waste Disposal'!E38,Data!$AO$5:$AR$5,0),_xlfn.XLOOKUP('Waste Disposal'!$D38,Data!$AN$6:$AN$65,Data!$AO$6:$AO$65),_xlfn.XLOOKUP('Waste Disposal'!$D38,Data!$AN$6:$AN$65,Data!$AP$6:$AP$65),_xlfn.XLOOKUP('Waste Disposal'!$D38,Data!$AN$6:$AN$65,Data!$AQ$6:$AQ$65),_xlfn.XLOOKUP('Waste Disposal'!$D38,Data!$AN$6:$AN$65,Data!$AR$6:$AR$65))*'Waste Disposal'!$F38)</f>
        <v/>
      </c>
      <c r="AX33" s="305"/>
    </row>
    <row r="34" spans="1:50">
      <c r="A34" s="181"/>
      <c r="B34" s="144"/>
      <c r="C34" s="144"/>
      <c r="D34" s="144"/>
      <c r="E34" s="144"/>
      <c r="F34" s="144"/>
      <c r="G34" s="144"/>
      <c r="H34" s="291">
        <f>SUM(H7:H33)</f>
        <v>28148.763081600002</v>
      </c>
      <c r="I34" s="144"/>
      <c r="J34" s="145" t="s">
        <v>51</v>
      </c>
      <c r="K34" s="144" t="s">
        <v>51</v>
      </c>
      <c r="L34" s="144"/>
      <c r="M34" s="144"/>
      <c r="N34" s="144"/>
      <c r="O34" s="144"/>
      <c r="P34" s="291">
        <f>SUM(P7:P33)</f>
        <v>0</v>
      </c>
      <c r="Q34" s="144"/>
      <c r="R34" s="144" t="s">
        <v>51</v>
      </c>
      <c r="S34" s="144" t="s">
        <v>51</v>
      </c>
      <c r="T34" s="144"/>
      <c r="U34" s="144"/>
      <c r="V34" s="144"/>
      <c r="W34" s="144"/>
      <c r="X34" s="291">
        <f>SUM(X7:X33)</f>
        <v>13.801424202500002</v>
      </c>
      <c r="Y34" s="144"/>
      <c r="Z34" s="144"/>
      <c r="AA34" s="144" t="s">
        <v>51</v>
      </c>
      <c r="AB34" s="144"/>
      <c r="AC34" s="291">
        <f>IF(ISBLANK('Purchased Gases &amp; Refrigerants'!C15),"",SUM(Results!AC7:AC33))</f>
        <v>0</v>
      </c>
      <c r="AD34" s="144"/>
      <c r="AE34" s="144"/>
      <c r="AF34" s="144" t="str">
        <f>IF(ISBLANK('Purchased Gases &amp; Refrigerants'!$C42),"",'Purchased Gases &amp; Refrigerants'!C42)</f>
        <v/>
      </c>
      <c r="AG34" s="144"/>
      <c r="AH34" s="291">
        <f>SUM(AH7:AH33)</f>
        <v>0</v>
      </c>
      <c r="AJ34" s="144"/>
      <c r="AK34" s="144" t="str">
        <f>IF(ISBLANK('Purchased Gases &amp; Refrigerants'!$C42),"",'Purchased Gases &amp; Refrigerants'!C42)</f>
        <v/>
      </c>
      <c r="AL34" s="144"/>
      <c r="AM34" s="291">
        <f ca="1">SUM(AM7:AM33)</f>
        <v>0</v>
      </c>
      <c r="AO34" s="144"/>
      <c r="AP34" s="144" t="str">
        <f>IF(ISBLANK('Raw Material Usage'!C39),"",'Raw Material Usage'!C39)</f>
        <v/>
      </c>
      <c r="AQ34" s="144"/>
      <c r="AR34" s="291">
        <f>SUM(AR7:AR33)</f>
        <v>0</v>
      </c>
      <c r="AT34" s="144"/>
      <c r="AU34" s="144"/>
      <c r="AV34" s="144"/>
      <c r="AW34" s="291">
        <f>SUM(AW7:AW33)</f>
        <v>0</v>
      </c>
      <c r="AX34" s="305"/>
    </row>
    <row r="35" spans="1:50">
      <c r="A35" s="181"/>
      <c r="B35" s="144"/>
      <c r="C35" s="144"/>
      <c r="D35" s="144"/>
      <c r="E35" s="144"/>
      <c r="F35" s="144"/>
      <c r="G35" s="144"/>
      <c r="H35" s="144"/>
      <c r="I35" s="144"/>
      <c r="Q35" s="144"/>
      <c r="R35" s="144" t="s">
        <v>51</v>
      </c>
      <c r="S35" s="145" t="s">
        <v>51</v>
      </c>
      <c r="T35" s="144"/>
      <c r="U35" s="144"/>
      <c r="V35" s="144"/>
      <c r="W35" s="144"/>
      <c r="X35" s="144"/>
      <c r="Y35" s="144"/>
      <c r="Z35" s="144"/>
      <c r="AA35" s="144"/>
      <c r="AB35" s="144"/>
      <c r="AC35" s="144"/>
      <c r="AD35" s="144"/>
      <c r="AE35" s="144"/>
      <c r="AF35" s="144"/>
      <c r="AG35" s="144"/>
      <c r="AH35" s="144"/>
      <c r="AI35" s="144"/>
      <c r="AJ35" s="144"/>
      <c r="AK35" s="144"/>
      <c r="AL35" s="144"/>
      <c r="AM35" s="144"/>
      <c r="AN35" s="144"/>
      <c r="AO35" s="144"/>
      <c r="AP35" s="144"/>
      <c r="AQ35" s="144"/>
      <c r="AR35" s="144"/>
      <c r="AX35" s="182"/>
    </row>
    <row r="36" spans="1:50">
      <c r="A36" s="181"/>
      <c r="B36" s="145" t="s">
        <v>77</v>
      </c>
      <c r="C36" s="144"/>
      <c r="D36" s="144"/>
      <c r="E36" s="144"/>
      <c r="F36" s="144"/>
      <c r="G36" s="144"/>
      <c r="H36" s="144"/>
      <c r="I36" s="144"/>
      <c r="J36" s="145" t="s">
        <v>61</v>
      </c>
      <c r="K36" s="144"/>
      <c r="L36" s="144"/>
      <c r="M36" s="144"/>
      <c r="N36" s="144"/>
      <c r="O36" s="144"/>
      <c r="P36" s="144"/>
      <c r="Q36" s="144"/>
      <c r="R36" s="145" t="s">
        <v>70</v>
      </c>
      <c r="S36" s="144" t="s">
        <v>51</v>
      </c>
      <c r="T36" s="144"/>
      <c r="U36" s="144"/>
      <c r="V36" s="144"/>
      <c r="W36" s="144"/>
      <c r="X36" s="144"/>
      <c r="Y36" s="144"/>
      <c r="Z36" s="145" t="s">
        <v>94</v>
      </c>
      <c r="AA36" s="144" t="s">
        <v>51</v>
      </c>
      <c r="AB36" s="144"/>
      <c r="AC36" s="144" t="s">
        <v>51</v>
      </c>
      <c r="AD36" s="232"/>
      <c r="AE36" s="144"/>
      <c r="AF36" s="144"/>
      <c r="AG36" s="144"/>
      <c r="AH36" s="144"/>
      <c r="AI36" s="144"/>
      <c r="AJ36" s="144"/>
      <c r="AK36" s="144"/>
      <c r="AL36" s="144"/>
      <c r="AM36" s="144"/>
      <c r="AN36" s="144"/>
      <c r="AO36" s="145" t="s">
        <v>407</v>
      </c>
      <c r="AP36" s="144"/>
      <c r="AQ36" s="144"/>
      <c r="AR36" s="144"/>
      <c r="AS36" s="234"/>
      <c r="AT36" s="234" t="s">
        <v>408</v>
      </c>
      <c r="AU36" s="234"/>
      <c r="AV36" s="234"/>
      <c r="AW36" s="234"/>
      <c r="AX36" s="182"/>
    </row>
    <row r="37" spans="1:50" s="234" customFormat="1">
      <c r="A37" s="231"/>
      <c r="B37" s="213" t="s">
        <v>35</v>
      </c>
      <c r="C37" s="213" t="s">
        <v>36</v>
      </c>
      <c r="D37" s="213" t="s">
        <v>398</v>
      </c>
      <c r="E37" s="213" t="s">
        <v>399</v>
      </c>
      <c r="F37" s="213" t="s">
        <v>400</v>
      </c>
      <c r="G37" s="232"/>
      <c r="H37" s="213" t="s">
        <v>401</v>
      </c>
      <c r="I37" s="232"/>
      <c r="J37" s="213" t="s">
        <v>35</v>
      </c>
      <c r="K37" s="213" t="s">
        <v>36</v>
      </c>
      <c r="L37" s="213" t="s">
        <v>398</v>
      </c>
      <c r="M37" s="213" t="s">
        <v>399</v>
      </c>
      <c r="N37" s="213" t="s">
        <v>400</v>
      </c>
      <c r="O37" s="232"/>
      <c r="P37" s="213" t="s">
        <v>401</v>
      </c>
      <c r="Q37" s="232"/>
      <c r="R37" s="213" t="s">
        <v>35</v>
      </c>
      <c r="S37" s="213" t="s">
        <v>36</v>
      </c>
      <c r="T37" s="213" t="s">
        <v>398</v>
      </c>
      <c r="U37" s="213" t="s">
        <v>399</v>
      </c>
      <c r="V37" s="213" t="s">
        <v>400</v>
      </c>
      <c r="W37" s="232"/>
      <c r="X37" s="213" t="s">
        <v>401</v>
      </c>
      <c r="Y37" s="232"/>
      <c r="Z37" s="215" t="s">
        <v>35</v>
      </c>
      <c r="AA37" s="213" t="s">
        <v>36</v>
      </c>
      <c r="AB37" s="232"/>
      <c r="AC37" s="213" t="s">
        <v>401</v>
      </c>
      <c r="AD37" s="144"/>
      <c r="AE37" s="232"/>
      <c r="AF37" s="232"/>
      <c r="AG37" s="232"/>
      <c r="AH37" s="232"/>
      <c r="AI37" s="232"/>
      <c r="AJ37" s="232"/>
      <c r="AK37" s="232"/>
      <c r="AL37" s="232"/>
      <c r="AM37" s="232"/>
      <c r="AN37" s="232"/>
      <c r="AO37" s="213" t="s">
        <v>35</v>
      </c>
      <c r="AP37" s="213" t="s">
        <v>36</v>
      </c>
      <c r="AQ37" s="232"/>
      <c r="AR37" s="213" t="s">
        <v>409</v>
      </c>
      <c r="AS37"/>
      <c r="AT37" s="213" t="s">
        <v>35</v>
      </c>
      <c r="AU37" s="213" t="s">
        <v>36</v>
      </c>
      <c r="AV37" s="232"/>
      <c r="AW37" s="213" t="s">
        <v>410</v>
      </c>
      <c r="AX37" s="233"/>
    </row>
    <row r="38" spans="1:50">
      <c r="A38" s="181"/>
      <c r="B38" s="289" t="str">
        <f>IF(ISBLANK('Stationary Combustion'!B12),"",'Stationary Combustion'!B12)</f>
        <v/>
      </c>
      <c r="C38" s="289" t="str">
        <f>IF(ISBLANK('Stationary Combustion'!C12),"",'Stationary Combustion'!C12)</f>
        <v/>
      </c>
      <c r="D38" s="289" t="str">
        <f>IF(ISBLANK('Stationary Combustion'!$E12),"",'Stationary Combustion'!$E12*_xlfn.XLOOKUP('Stationary Combustion'!$D12,Data!$B$6:$B$33,Data!F$6:F$33)/1000)</f>
        <v/>
      </c>
      <c r="E38" s="289" t="str">
        <f>IF(ISBLANK('Stationary Combustion'!$E12),"",'Stationary Combustion'!$E12*_xlfn.XLOOKUP('Stationary Combustion'!$D12,Data!$B$6:$B$33,Data!G$6:G$33)/1000000)</f>
        <v/>
      </c>
      <c r="F38" s="289" t="str">
        <f>IF(ISBLANK('Stationary Combustion'!$E12),"",'Stationary Combustion'!$E12*_xlfn.XLOOKUP('Stationary Combustion'!$D12,Data!$B$6:$B$33,Data!H$6:H$33)/1000000)</f>
        <v/>
      </c>
      <c r="G38" s="144"/>
      <c r="H38" s="289" t="str">
        <f>IF(ISBLANK('Stationary Combustion'!E12),"",Results!D38+25*Results!E38+298*Results!F38)</f>
        <v/>
      </c>
      <c r="I38" s="144"/>
      <c r="J38" s="289" t="str">
        <f>IF(ISBLANK('External Transportation'!B12),"",'External Transportation'!B12)</f>
        <v/>
      </c>
      <c r="K38" s="289" t="str">
        <f>IF(ISBLANK('External Transportation'!C12),"",'External Transportation'!C12)</f>
        <v/>
      </c>
      <c r="L38" s="289" t="str">
        <f>IF(ISBLANK('External Transportation'!$C12),"",_xlfn.XLOOKUP('External Transportation'!$D12,Data!$AH$7:$AH$12,Data!AI$7:AI$12)*'External Transportation'!$E12*'External Transportation'!$F12/1000)</f>
        <v/>
      </c>
      <c r="M38" s="289" t="str">
        <f>IF(ISBLANK('External Transportation'!$C12),"",_xlfn.XLOOKUP('External Transportation'!$D12,Data!$AH$7:$AH$12,Data!AJ$7:AJ$12)*'External Transportation'!$E12*'External Transportation'!$F12/1000000)</f>
        <v/>
      </c>
      <c r="N38" s="289" t="str">
        <f>IF(ISBLANK('External Transportation'!$C12),"",_xlfn.XLOOKUP('External Transportation'!$D12,Data!$AH$7:$AH$12,Data!AK$7:AK$12)*'External Transportation'!$E12*'External Transportation'!$F12/1000000)</f>
        <v/>
      </c>
      <c r="O38" s="144"/>
      <c r="P38" s="289" t="str">
        <f>IF(ISBLANK('External Transportation'!E12),"",Results!L38+25*Results!M38+298*Results!N38)</f>
        <v/>
      </c>
      <c r="Q38" s="144"/>
      <c r="R38" s="289" t="str">
        <f>IF(ISBLANK('Business Travel'!B13),"",'Business Travel'!B13)</f>
        <v/>
      </c>
      <c r="S38" s="289" t="str">
        <f>IF(ISBLANK('Business Travel'!C13),"",'Business Travel'!C13)</f>
        <v/>
      </c>
      <c r="T38" s="289" t="str">
        <f>IF(ISBLANK('Business Travel'!$E13),"",_xlfn.XLOOKUP('Business Travel'!$D13,Data!$T$6:$T$15,Data!U$6:U$15,"")*'Business Travel'!$E13/1000)</f>
        <v/>
      </c>
      <c r="U38" s="289" t="str">
        <f>IF(ISBLANK('Business Travel'!$E13),"",_xlfn.XLOOKUP('Business Travel'!$D13,Data!$T$6:$T$15,Data!V$6:V$15,"")*'Business Travel'!$E13/1000000)</f>
        <v/>
      </c>
      <c r="V38" s="289" t="str">
        <f>IF(ISBLANK('Business Travel'!$E13),"",_xlfn.XLOOKUP('Business Travel'!$D13,Data!$T$6:$T$15,Data!W$6:W$15,"")*'Business Travel'!$E13/1000000)</f>
        <v/>
      </c>
      <c r="W38" s="144"/>
      <c r="X38" s="289" t="str">
        <f>IF(ISBLANK('Business Travel'!E13),"",Results!T38+25*Results!U38+298*Results!V38)</f>
        <v/>
      </c>
      <c r="Y38" s="144"/>
      <c r="Z38" s="289" t="str">
        <f>IF(ISBLANK('Purchased Gases &amp; Refrigerants'!H15),"",'Purchased Gases &amp; Refrigerants'!G15)</f>
        <v/>
      </c>
      <c r="AA38" s="289" t="str">
        <f>IF(ISBLANK('Purchased Gases &amp; Refrigerants'!I15),"",'Purchased Gases &amp; Refrigerants'!H15)</f>
        <v/>
      </c>
      <c r="AB38" s="144"/>
      <c r="AC38" s="289" t="str">
        <f>IF(ISBLANK('Purchased Gases &amp; Refrigerants'!$J15),"",_xlfn.XLOOKUP('Purchased Gases &amp; Refrigerants'!$I15,Data!$AX$6:$AX$41,Data!$AY$6:$AY$41)*'Purchased Gases &amp; Refrigerants'!$J15*0.0004536)</f>
        <v/>
      </c>
      <c r="AD38" s="144"/>
      <c r="AE38" s="144"/>
      <c r="AF38" s="144"/>
      <c r="AG38" s="144"/>
      <c r="AH38" s="144"/>
      <c r="AI38" s="144"/>
      <c r="AJ38" s="144"/>
      <c r="AK38" s="144"/>
      <c r="AL38" s="144"/>
      <c r="AM38" s="144"/>
      <c r="AN38" s="144"/>
      <c r="AO38" s="289" t="str">
        <f>IF(ISBLANK('Stationary Combustion'!$C12),"",'Stationary Combustion'!B12)</f>
        <v/>
      </c>
      <c r="AP38" s="289" t="str">
        <f>IF(ISBLANK('Stationary Combustion'!$C12),"",'Stationary Combustion'!C12)</f>
        <v/>
      </c>
      <c r="AQ38" s="144"/>
      <c r="AR38" s="289" t="str">
        <f>IF(ISBLANK('Stationary Combustion'!E12),"",_xlfn.XLOOKUP('Stationary Combustion'!$D12,Data!$B$6:$B$33,Data!$A$6:$A$33)*'Stationary Combustion'!$E12*_xlfn.XLOOKUP('Stationary Combustion'!D12,Data!$B$6:$B$33,Data!$J$6:$J$33))</f>
        <v/>
      </c>
      <c r="AT38" s="289">
        <f>IF(ISBLANK('General Information'!F18),"",'General Information'!B18)</f>
        <v>1</v>
      </c>
      <c r="AU38" s="289" t="str">
        <f>IF(ISBLANK('General Information'!F18),"",'General Information'!C18)</f>
        <v>Alaska Plant 1</v>
      </c>
      <c r="AV38" s="144"/>
      <c r="AW38" s="289">
        <f>IF(ISBLANK('General Information'!F18),"",'General Information'!F18)</f>
        <v>24000</v>
      </c>
      <c r="AX38" s="182"/>
    </row>
    <row r="39" spans="1:50">
      <c r="A39" s="181"/>
      <c r="B39" s="290" t="str">
        <f>IF(ISBLANK('Stationary Combustion'!B13),"",'Stationary Combustion'!B13)</f>
        <v/>
      </c>
      <c r="C39" s="290" t="str">
        <f>IF(ISBLANK('Stationary Combustion'!C13),"",'Stationary Combustion'!C13)</f>
        <v/>
      </c>
      <c r="D39" s="290" t="str">
        <f>IF(ISBLANK('Stationary Combustion'!$E13),"",'Stationary Combustion'!$E13*_xlfn.XLOOKUP('Stationary Combustion'!$D13,Data!$B$6:$B$33,Data!F$6:F$33)/1000)</f>
        <v/>
      </c>
      <c r="E39" s="290" t="str">
        <f>IF(ISBLANK('Stationary Combustion'!$E13),"",'Stationary Combustion'!$E13*_xlfn.XLOOKUP('Stationary Combustion'!$D13,Data!$B$6:$B$33,Data!G$6:G$33)/1000000)</f>
        <v/>
      </c>
      <c r="F39" s="290" t="str">
        <f>IF(ISBLANK('Stationary Combustion'!$E13),"",'Stationary Combustion'!$E13*_xlfn.XLOOKUP('Stationary Combustion'!$D13,Data!$B$6:$B$33,Data!H$6:H$33)/1000000)</f>
        <v/>
      </c>
      <c r="G39" s="144"/>
      <c r="H39" s="290" t="str">
        <f>IF(ISBLANK('Stationary Combustion'!E13),"",Results!D39+25*Results!E39+298*Results!F39)</f>
        <v/>
      </c>
      <c r="I39" s="144"/>
      <c r="J39" s="290" t="str">
        <f>IF(ISBLANK('External Transportation'!B13),"",'External Transportation'!B13)</f>
        <v/>
      </c>
      <c r="K39" s="290" t="str">
        <f>IF(ISBLANK('External Transportation'!C13),"",'External Transportation'!C13)</f>
        <v/>
      </c>
      <c r="L39" s="290" t="str">
        <f>IF(ISBLANK('External Transportation'!$C13),"",_xlfn.XLOOKUP('External Transportation'!$D13,Data!$AH$7:$AH$12,Data!AI$7:AI$12)*'External Transportation'!$E13*'External Transportation'!$F13/1000)</f>
        <v/>
      </c>
      <c r="M39" s="290" t="str">
        <f>IF(ISBLANK('External Transportation'!$C13),"",_xlfn.XLOOKUP('External Transportation'!$D13,Data!$AH$7:$AH$12,Data!AJ$7:AJ$12)*'External Transportation'!$E13*'External Transportation'!$F13/1000000)</f>
        <v/>
      </c>
      <c r="N39" s="290" t="str">
        <f>IF(ISBLANK('External Transportation'!$C13),"",_xlfn.XLOOKUP('External Transportation'!$D13,Data!$AH$7:$AH$12,Data!AK$7:AK$12)*'External Transportation'!$E13*'External Transportation'!$F13/1000000)</f>
        <v/>
      </c>
      <c r="O39" s="144"/>
      <c r="P39" s="290" t="str">
        <f>IF(ISBLANK('External Transportation'!E13),"",Results!L39+25*Results!M39+298*Results!N39)</f>
        <v/>
      </c>
      <c r="Q39" s="144"/>
      <c r="R39" s="290" t="str">
        <f>IF(ISBLANK('Business Travel'!B14),"",'Business Travel'!B14)</f>
        <v/>
      </c>
      <c r="S39" s="290" t="str">
        <f>IF(ISBLANK('Business Travel'!C14),"",'Business Travel'!C14)</f>
        <v/>
      </c>
      <c r="T39" s="290" t="str">
        <f>IF(ISBLANK('Business Travel'!$E14),"",_xlfn.XLOOKUP('Business Travel'!$D14,Data!$T$6:$T$15,Data!U$6:U$15,"")*'Business Travel'!$E14/1000)</f>
        <v/>
      </c>
      <c r="U39" s="290" t="str">
        <f>IF(ISBLANK('Business Travel'!$E14),"",_xlfn.XLOOKUP('Business Travel'!$D14,Data!$T$6:$T$15,Data!V$6:V$15,"")*'Business Travel'!$E14/1000000)</f>
        <v/>
      </c>
      <c r="V39" s="290" t="str">
        <f>IF(ISBLANK('Business Travel'!$E14),"",_xlfn.XLOOKUP('Business Travel'!$D14,Data!$T$6:$T$15,Data!W$6:W$15,"")*'Business Travel'!$E14/1000000)</f>
        <v/>
      </c>
      <c r="W39" s="144"/>
      <c r="X39" s="290" t="str">
        <f>IF(ISBLANK('Business Travel'!E14),"",Results!T39+25*Results!U39+298*Results!V39)</f>
        <v/>
      </c>
      <c r="Y39" s="144"/>
      <c r="Z39" s="290" t="str">
        <f>IF(ISBLANK('Purchased Gases &amp; Refrigerants'!H16),"",'Purchased Gases &amp; Refrigerants'!G16)</f>
        <v/>
      </c>
      <c r="AA39" s="290" t="str">
        <f>IF(ISBLANK('Purchased Gases &amp; Refrigerants'!I16),"",'Purchased Gases &amp; Refrigerants'!H16)</f>
        <v/>
      </c>
      <c r="AB39" s="144"/>
      <c r="AC39" s="290" t="str">
        <f>IF(ISBLANK('Purchased Gases &amp; Refrigerants'!$J16),"",_xlfn.XLOOKUP('Purchased Gases &amp; Refrigerants'!$I16,Data!$AX$6:$AX$41,Data!$AY$6:$AY$41)*'Purchased Gases &amp; Refrigerants'!$J16*0.0004536)</f>
        <v/>
      </c>
      <c r="AD39" s="144"/>
      <c r="AE39" s="144"/>
      <c r="AF39" s="144"/>
      <c r="AG39" s="144"/>
      <c r="AH39" s="144"/>
      <c r="AI39" s="144"/>
      <c r="AJ39" s="144"/>
      <c r="AK39" s="144"/>
      <c r="AL39" s="144"/>
      <c r="AM39" s="144"/>
      <c r="AN39" s="144"/>
      <c r="AO39" s="290" t="str">
        <f>IF(ISBLANK('Stationary Combustion'!$C13),"",'Stationary Combustion'!B13)</f>
        <v/>
      </c>
      <c r="AP39" s="290" t="str">
        <f>IF(ISBLANK('Stationary Combustion'!$C13),"",'Stationary Combustion'!C13)</f>
        <v/>
      </c>
      <c r="AQ39" s="144"/>
      <c r="AR39" s="290" t="str">
        <f>IF(ISBLANK('Stationary Combustion'!E13),"",_xlfn.XLOOKUP('Stationary Combustion'!$D13,Data!$B$6:$B$33,Data!$A$6:$A$33)*'Stationary Combustion'!$E13*_xlfn.XLOOKUP('Stationary Combustion'!D13,Data!$B$6:$B$33,Data!$J$6:$J$33))</f>
        <v/>
      </c>
      <c r="AT39" s="290">
        <f>IF(ISBLANK('General Information'!F19),"",'General Information'!B19)</f>
        <v>2</v>
      </c>
      <c r="AU39" s="290" t="str">
        <f>IF(ISBLANK('General Information'!F19),"",'General Information'!C19)</f>
        <v>Alaska Plant 2</v>
      </c>
      <c r="AV39" s="144"/>
      <c r="AW39" s="290">
        <f>IF(ISBLANK('General Information'!F19),"",'General Information'!F19)</f>
        <v>25000</v>
      </c>
      <c r="AX39" s="182"/>
    </row>
    <row r="40" spans="1:50">
      <c r="A40" s="181"/>
      <c r="B40" s="289" t="str">
        <f>IF(ISBLANK('Stationary Combustion'!B14),"",'Stationary Combustion'!B14)</f>
        <v/>
      </c>
      <c r="C40" s="289" t="str">
        <f>IF(ISBLANK('Stationary Combustion'!C14),"",'Stationary Combustion'!C14)</f>
        <v/>
      </c>
      <c r="D40" s="289" t="str">
        <f>IF(ISBLANK('Stationary Combustion'!$E14),"",'Stationary Combustion'!$E14*_xlfn.XLOOKUP('Stationary Combustion'!$D14,Data!$B$6:$B$33,Data!F$6:F$33)/1000)</f>
        <v/>
      </c>
      <c r="E40" s="289" t="str">
        <f>IF(ISBLANK('Stationary Combustion'!$E14),"",'Stationary Combustion'!$E14*_xlfn.XLOOKUP('Stationary Combustion'!$D14,Data!$B$6:$B$33,Data!G$6:G$33)/1000000)</f>
        <v/>
      </c>
      <c r="F40" s="289" t="str">
        <f>IF(ISBLANK('Stationary Combustion'!$E14),"",'Stationary Combustion'!$E14*_xlfn.XLOOKUP('Stationary Combustion'!$D14,Data!$B$6:$B$33,Data!H$6:H$33)/1000000)</f>
        <v/>
      </c>
      <c r="G40" s="144"/>
      <c r="H40" s="289" t="str">
        <f>IF(ISBLANK('Stationary Combustion'!E14),"",Results!D40+25*Results!E40+298*Results!F40)</f>
        <v/>
      </c>
      <c r="I40" s="144"/>
      <c r="J40" s="289" t="str">
        <f>IF(ISBLANK('External Transportation'!B14),"",'External Transportation'!B14)</f>
        <v/>
      </c>
      <c r="K40" s="289" t="str">
        <f>IF(ISBLANK('External Transportation'!C14),"",'External Transportation'!C14)</f>
        <v/>
      </c>
      <c r="L40" s="289" t="str">
        <f>IF(ISBLANK('External Transportation'!$C14),"",_xlfn.XLOOKUP('External Transportation'!$D14,Data!$AH$7:$AH$12,Data!AI$7:AI$12)*'External Transportation'!$E14*'External Transportation'!$F14/1000)</f>
        <v/>
      </c>
      <c r="M40" s="289" t="str">
        <f>IF(ISBLANK('External Transportation'!$C14),"",_xlfn.XLOOKUP('External Transportation'!$D14,Data!$AH$7:$AH$12,Data!AJ$7:AJ$12)*'External Transportation'!$E14*'External Transportation'!$F14/1000000)</f>
        <v/>
      </c>
      <c r="N40" s="289" t="str">
        <f>IF(ISBLANK('External Transportation'!$C14),"",_xlfn.XLOOKUP('External Transportation'!$D14,Data!$AH$7:$AH$12,Data!AK$7:AK$12)*'External Transportation'!$E14*'External Transportation'!$F14/1000000)</f>
        <v/>
      </c>
      <c r="O40" s="144"/>
      <c r="P40" s="289" t="str">
        <f>IF(ISBLANK('External Transportation'!E14),"",Results!L40+25*Results!M40+298*Results!N40)</f>
        <v/>
      </c>
      <c r="Q40" s="144"/>
      <c r="R40" s="289" t="str">
        <f>IF(ISBLANK('Business Travel'!B15),"",'Business Travel'!B15)</f>
        <v/>
      </c>
      <c r="S40" s="289" t="str">
        <f>IF(ISBLANK('Business Travel'!C15),"",'Business Travel'!C15)</f>
        <v/>
      </c>
      <c r="T40" s="289" t="str">
        <f>IF(ISBLANK('Business Travel'!$E15),"",_xlfn.XLOOKUP('Business Travel'!$D15,Data!$T$6:$T$15,Data!U$6:U$15,"")*'Business Travel'!$E15/1000)</f>
        <v/>
      </c>
      <c r="U40" s="289" t="str">
        <f>IF(ISBLANK('Business Travel'!$E15),"",_xlfn.XLOOKUP('Business Travel'!$D15,Data!$T$6:$T$15,Data!V$6:V$15,"")*'Business Travel'!$E15/1000000)</f>
        <v/>
      </c>
      <c r="V40" s="289" t="str">
        <f>IF(ISBLANK('Business Travel'!$E15),"",_xlfn.XLOOKUP('Business Travel'!$D15,Data!$T$6:$T$15,Data!W$6:W$15,"")*'Business Travel'!$E15/1000000)</f>
        <v/>
      </c>
      <c r="W40" s="144"/>
      <c r="X40" s="289" t="str">
        <f>IF(ISBLANK('Business Travel'!E15),"",Results!T40+25*Results!U40+298*Results!V40)</f>
        <v/>
      </c>
      <c r="Y40" s="144"/>
      <c r="Z40" s="289" t="str">
        <f>IF(ISBLANK('Purchased Gases &amp; Refrigerants'!H17),"",'Purchased Gases &amp; Refrigerants'!G17)</f>
        <v/>
      </c>
      <c r="AA40" s="289" t="str">
        <f>IF(ISBLANK('Purchased Gases &amp; Refrigerants'!I17),"",'Purchased Gases &amp; Refrigerants'!H17)</f>
        <v/>
      </c>
      <c r="AB40" s="144"/>
      <c r="AC40" s="289" t="str">
        <f>IF(ISBLANK('Purchased Gases &amp; Refrigerants'!$J17),"",_xlfn.XLOOKUP('Purchased Gases &amp; Refrigerants'!$I17,Data!$AX$6:$AX$41,Data!$AY$6:$AY$41)*'Purchased Gases &amp; Refrigerants'!$J17*0.0004536)</f>
        <v/>
      </c>
      <c r="AD40" s="144"/>
      <c r="AE40" s="144"/>
      <c r="AF40" s="144"/>
      <c r="AG40" s="144"/>
      <c r="AH40" s="144"/>
      <c r="AI40" s="144"/>
      <c r="AJ40" s="144"/>
      <c r="AK40" s="144"/>
      <c r="AL40" s="144"/>
      <c r="AM40" s="144"/>
      <c r="AN40" s="144"/>
      <c r="AO40" s="289" t="str">
        <f>IF(ISBLANK('Stationary Combustion'!$C14),"",'Stationary Combustion'!B14)</f>
        <v/>
      </c>
      <c r="AP40" s="289" t="str">
        <f>IF(ISBLANK('Stationary Combustion'!$C14),"",'Stationary Combustion'!C14)</f>
        <v/>
      </c>
      <c r="AQ40" s="144"/>
      <c r="AR40" s="289" t="str">
        <f>IF(ISBLANK('Stationary Combustion'!E14),"",_xlfn.XLOOKUP('Stationary Combustion'!$D14,Data!$B$6:$B$33,Data!$A$6:$A$33)*'Stationary Combustion'!$E14*_xlfn.XLOOKUP('Stationary Combustion'!D14,Data!$B$6:$B$33,Data!$J$6:$J$33))</f>
        <v/>
      </c>
      <c r="AT40" s="289" t="str">
        <f>IF(ISBLANK('General Information'!F20),"",'General Information'!B20)</f>
        <v/>
      </c>
      <c r="AU40" s="289" t="str">
        <f>IF(ISBLANK('General Information'!F20),"",'General Information'!C20)</f>
        <v/>
      </c>
      <c r="AV40" s="144"/>
      <c r="AW40" s="289" t="str">
        <f>IF(ISBLANK('General Information'!F20),"",'General Information'!F20)</f>
        <v/>
      </c>
      <c r="AX40" s="182"/>
    </row>
    <row r="41" spans="1:50">
      <c r="A41" s="181"/>
      <c r="B41" s="290" t="str">
        <f>IF(ISBLANK('Stationary Combustion'!B15),"",'Stationary Combustion'!B15)</f>
        <v/>
      </c>
      <c r="C41" s="290" t="str">
        <f>IF(ISBLANK('Stationary Combustion'!C15),"",'Stationary Combustion'!C15)</f>
        <v/>
      </c>
      <c r="D41" s="290" t="str">
        <f>IF(ISBLANK('Stationary Combustion'!$E15),"",'Stationary Combustion'!$E15*_xlfn.XLOOKUP('Stationary Combustion'!$D15,Data!$B$6:$B$33,Data!F$6:F$33)/1000)</f>
        <v/>
      </c>
      <c r="E41" s="290" t="str">
        <f>IF(ISBLANK('Stationary Combustion'!$E15),"",'Stationary Combustion'!$E15*_xlfn.XLOOKUP('Stationary Combustion'!$D15,Data!$B$6:$B$33,Data!G$6:G$33)/1000000)</f>
        <v/>
      </c>
      <c r="F41" s="290" t="str">
        <f>IF(ISBLANK('Stationary Combustion'!$E15),"",'Stationary Combustion'!$E15*_xlfn.XLOOKUP('Stationary Combustion'!$D15,Data!$B$6:$B$33,Data!H$6:H$33)/1000000)</f>
        <v/>
      </c>
      <c r="G41" s="144"/>
      <c r="H41" s="290" t="str">
        <f>IF(ISBLANK('Stationary Combustion'!E15),"",Results!D41+25*Results!E41+298*Results!F41)</f>
        <v/>
      </c>
      <c r="I41" s="144"/>
      <c r="J41" s="290" t="str">
        <f>IF(ISBLANK('External Transportation'!B15),"",'External Transportation'!B15)</f>
        <v/>
      </c>
      <c r="K41" s="290" t="str">
        <f>IF(ISBLANK('External Transportation'!C15),"",'External Transportation'!C15)</f>
        <v/>
      </c>
      <c r="L41" s="290" t="str">
        <f>IF(ISBLANK('External Transportation'!$C15),"",_xlfn.XLOOKUP('External Transportation'!$D15,Data!$AH$7:$AH$12,Data!AI$7:AI$12)*'External Transportation'!$E15*'External Transportation'!$F15/1000)</f>
        <v/>
      </c>
      <c r="M41" s="290" t="str">
        <f>IF(ISBLANK('External Transportation'!$C15),"",_xlfn.XLOOKUP('External Transportation'!$D15,Data!$AH$7:$AH$12,Data!AJ$7:AJ$12)*'External Transportation'!$E15*'External Transportation'!$F15/1000000)</f>
        <v/>
      </c>
      <c r="N41" s="290" t="str">
        <f>IF(ISBLANK('External Transportation'!$C15),"",_xlfn.XLOOKUP('External Transportation'!$D15,Data!$AH$7:$AH$12,Data!AK$7:AK$12)*'External Transportation'!$E15*'External Transportation'!$F15/1000000)</f>
        <v/>
      </c>
      <c r="O41" s="144"/>
      <c r="P41" s="290" t="str">
        <f>IF(ISBLANK('External Transportation'!E15),"",Results!L41+25*Results!M41+298*Results!N41)</f>
        <v/>
      </c>
      <c r="Q41" s="144"/>
      <c r="R41" s="290" t="str">
        <f>IF(ISBLANK('Business Travel'!B16),"",'Business Travel'!B16)</f>
        <v/>
      </c>
      <c r="S41" s="290" t="str">
        <f>IF(ISBLANK('Business Travel'!C16),"",'Business Travel'!C16)</f>
        <v/>
      </c>
      <c r="T41" s="290" t="str">
        <f>IF(ISBLANK('Business Travel'!$E16),"",_xlfn.XLOOKUP('Business Travel'!$D16,Data!$T$6:$T$15,Data!U$6:U$15,"")*'Business Travel'!$E16/1000)</f>
        <v/>
      </c>
      <c r="U41" s="290" t="str">
        <f>IF(ISBLANK('Business Travel'!$E16),"",_xlfn.XLOOKUP('Business Travel'!$D16,Data!$T$6:$T$15,Data!V$6:V$15,"")*'Business Travel'!$E16/1000000)</f>
        <v/>
      </c>
      <c r="V41" s="290" t="str">
        <f>IF(ISBLANK('Business Travel'!$E16),"",_xlfn.XLOOKUP('Business Travel'!$D16,Data!$T$6:$T$15,Data!W$6:W$15,"")*'Business Travel'!$E16/1000000)</f>
        <v/>
      </c>
      <c r="W41" s="144"/>
      <c r="X41" s="290" t="str">
        <f>IF(ISBLANK('Business Travel'!E16),"",Results!T41+25*Results!U41+298*Results!V41)</f>
        <v/>
      </c>
      <c r="Y41" s="144"/>
      <c r="Z41" s="290" t="str">
        <f>IF(ISBLANK('Purchased Gases &amp; Refrigerants'!H18),"",'Purchased Gases &amp; Refrigerants'!G18)</f>
        <v/>
      </c>
      <c r="AA41" s="290" t="str">
        <f>IF(ISBLANK('Purchased Gases &amp; Refrigerants'!I18),"",'Purchased Gases &amp; Refrigerants'!H18)</f>
        <v/>
      </c>
      <c r="AB41" s="144"/>
      <c r="AC41" s="290" t="str">
        <f>IF(ISBLANK('Purchased Gases &amp; Refrigerants'!$J18),"",_xlfn.XLOOKUP('Purchased Gases &amp; Refrigerants'!$I18,Data!$AX$6:$AX$41,Data!$AY$6:$AY$41)*'Purchased Gases &amp; Refrigerants'!$J18*0.0004536)</f>
        <v/>
      </c>
      <c r="AD41" s="144"/>
      <c r="AE41" s="144"/>
      <c r="AF41" s="144"/>
      <c r="AG41" s="144"/>
      <c r="AH41" s="144"/>
      <c r="AI41" s="144"/>
      <c r="AJ41" s="144"/>
      <c r="AK41" s="144"/>
      <c r="AL41" s="144"/>
      <c r="AM41" s="144"/>
      <c r="AN41" s="144"/>
      <c r="AO41" s="290" t="str">
        <f>IF(ISBLANK('Stationary Combustion'!$C15),"",'Stationary Combustion'!B15)</f>
        <v/>
      </c>
      <c r="AP41" s="290" t="str">
        <f>IF(ISBLANK('Stationary Combustion'!$C15),"",'Stationary Combustion'!C15)</f>
        <v/>
      </c>
      <c r="AQ41" s="144"/>
      <c r="AR41" s="290" t="str">
        <f>IF(ISBLANK('Stationary Combustion'!E15),"",_xlfn.XLOOKUP('Stationary Combustion'!$D15,Data!$B$6:$B$33,Data!$A$6:$A$33)*'Stationary Combustion'!$E15*_xlfn.XLOOKUP('Stationary Combustion'!D15,Data!$B$6:$B$33,Data!$J$6:$J$33))</f>
        <v/>
      </c>
      <c r="AT41" s="290" t="str">
        <f>IF(ISBLANK('General Information'!F21),"",'General Information'!B21)</f>
        <v/>
      </c>
      <c r="AU41" s="290" t="str">
        <f>IF(ISBLANK('General Information'!F21),"",'General Information'!C21)</f>
        <v/>
      </c>
      <c r="AV41" s="144"/>
      <c r="AW41" s="290" t="str">
        <f>IF(ISBLANK('General Information'!F21),"",'General Information'!F21)</f>
        <v/>
      </c>
      <c r="AX41" s="182"/>
    </row>
    <row r="42" spans="1:50">
      <c r="A42" s="181"/>
      <c r="B42" s="289" t="str">
        <f>IF(ISBLANK('Stationary Combustion'!B16),"",'Stationary Combustion'!B16)</f>
        <v/>
      </c>
      <c r="C42" s="289" t="str">
        <f>IF(ISBLANK('Stationary Combustion'!C16),"",'Stationary Combustion'!C16)</f>
        <v/>
      </c>
      <c r="D42" s="289" t="str">
        <f>IF(ISBLANK('Stationary Combustion'!$E16),"",'Stationary Combustion'!$E16*_xlfn.XLOOKUP('Stationary Combustion'!$D16,Data!$B$6:$B$33,Data!F$6:F$33)/1000)</f>
        <v/>
      </c>
      <c r="E42" s="289" t="str">
        <f>IF(ISBLANK('Stationary Combustion'!$E16),"",'Stationary Combustion'!$E16*_xlfn.XLOOKUP('Stationary Combustion'!$D16,Data!$B$6:$B$33,Data!G$6:G$33)/1000000)</f>
        <v/>
      </c>
      <c r="F42" s="289" t="str">
        <f>IF(ISBLANK('Stationary Combustion'!$E16),"",'Stationary Combustion'!$E16*_xlfn.XLOOKUP('Stationary Combustion'!$D16,Data!$B$6:$B$33,Data!H$6:H$33)/1000000)</f>
        <v/>
      </c>
      <c r="G42" s="144"/>
      <c r="H42" s="289" t="str">
        <f>IF(ISBLANK('Stationary Combustion'!E16),"",Results!D42+25*Results!E42+298*Results!F42)</f>
        <v/>
      </c>
      <c r="I42" s="144"/>
      <c r="J42" s="289" t="str">
        <f>IF(ISBLANK('External Transportation'!B16),"",'External Transportation'!B16)</f>
        <v/>
      </c>
      <c r="K42" s="289" t="str">
        <f>IF(ISBLANK('External Transportation'!C16),"",'External Transportation'!C16)</f>
        <v/>
      </c>
      <c r="L42" s="289" t="str">
        <f>IF(ISBLANK('External Transportation'!$C16),"",_xlfn.XLOOKUP('External Transportation'!$D16,Data!$AH$7:$AH$12,Data!AI$7:AI$12)*'External Transportation'!$E16*'External Transportation'!$F16/1000)</f>
        <v/>
      </c>
      <c r="M42" s="289" t="str">
        <f>IF(ISBLANK('External Transportation'!$C16),"",_xlfn.XLOOKUP('External Transportation'!$D16,Data!$AH$7:$AH$12,Data!AJ$7:AJ$12)*'External Transportation'!$E16*'External Transportation'!$F16/1000000)</f>
        <v/>
      </c>
      <c r="N42" s="289" t="str">
        <f>IF(ISBLANK('External Transportation'!$C16),"",_xlfn.XLOOKUP('External Transportation'!$D16,Data!$AH$7:$AH$12,Data!AK$7:AK$12)*'External Transportation'!$E16*'External Transportation'!$F16/1000000)</f>
        <v/>
      </c>
      <c r="O42" s="144"/>
      <c r="P42" s="289" t="str">
        <f>IF(ISBLANK('External Transportation'!E16),"",Results!L42+25*Results!M42+298*Results!N42)</f>
        <v/>
      </c>
      <c r="Q42" s="144"/>
      <c r="R42" s="289" t="str">
        <f>IF(ISBLANK('Business Travel'!B17),"",'Business Travel'!B17)</f>
        <v/>
      </c>
      <c r="S42" s="289" t="str">
        <f>IF(ISBLANK('Business Travel'!C17),"",'Business Travel'!C17)</f>
        <v/>
      </c>
      <c r="T42" s="289" t="str">
        <f>IF(ISBLANK('Business Travel'!$E17),"",_xlfn.XLOOKUP('Business Travel'!$D17,Data!$T$6:$T$15,Data!U$6:U$15,"")*'Business Travel'!$E17/1000)</f>
        <v/>
      </c>
      <c r="U42" s="289" t="str">
        <f>IF(ISBLANK('Business Travel'!$E17),"",_xlfn.XLOOKUP('Business Travel'!$D17,Data!$T$6:$T$15,Data!V$6:V$15,"")*'Business Travel'!$E17/1000000)</f>
        <v/>
      </c>
      <c r="V42" s="289" t="str">
        <f>IF(ISBLANK('Business Travel'!$E17),"",_xlfn.XLOOKUP('Business Travel'!$D17,Data!$T$6:$T$15,Data!W$6:W$15,"")*'Business Travel'!$E17/1000000)</f>
        <v/>
      </c>
      <c r="W42" s="144"/>
      <c r="X42" s="289" t="str">
        <f>IF(ISBLANK('Business Travel'!E17),"",Results!T42+25*Results!U42+298*Results!V42)</f>
        <v/>
      </c>
      <c r="Y42" s="144"/>
      <c r="Z42" s="289" t="str">
        <f>IF(ISBLANK('Purchased Gases &amp; Refrigerants'!H19),"",'Purchased Gases &amp; Refrigerants'!G19)</f>
        <v/>
      </c>
      <c r="AA42" s="289" t="str">
        <f>IF(ISBLANK('Purchased Gases &amp; Refrigerants'!I19),"",'Purchased Gases &amp; Refrigerants'!H19)</f>
        <v/>
      </c>
      <c r="AB42" s="144"/>
      <c r="AC42" s="289" t="str">
        <f>IF(ISBLANK('Purchased Gases &amp; Refrigerants'!$J19),"",_xlfn.XLOOKUP('Purchased Gases &amp; Refrigerants'!$I19,Data!$AX$6:$AX$41,Data!$AY$6:$AY$41)*'Purchased Gases &amp; Refrigerants'!$J19*0.0004536)</f>
        <v/>
      </c>
      <c r="AD42" s="144"/>
      <c r="AE42" s="144"/>
      <c r="AF42" s="144"/>
      <c r="AG42" s="144"/>
      <c r="AH42" s="144"/>
      <c r="AI42" s="144"/>
      <c r="AJ42" s="144"/>
      <c r="AK42" s="144"/>
      <c r="AL42" s="144"/>
      <c r="AM42" s="144"/>
      <c r="AN42" s="144"/>
      <c r="AO42" s="289" t="str">
        <f>IF(ISBLANK('Stationary Combustion'!$C16),"",'Stationary Combustion'!B16)</f>
        <v/>
      </c>
      <c r="AP42" s="289" t="str">
        <f>IF(ISBLANK('Stationary Combustion'!$C16),"",'Stationary Combustion'!C16)</f>
        <v/>
      </c>
      <c r="AQ42" s="144"/>
      <c r="AR42" s="289" t="str">
        <f>IF(ISBLANK('Stationary Combustion'!E16),"",_xlfn.XLOOKUP('Stationary Combustion'!$D16,Data!$B$6:$B$33,Data!$A$6:$A$33)*'Stationary Combustion'!$E16*_xlfn.XLOOKUP('Stationary Combustion'!D16,Data!$B$6:$B$33,Data!$J$6:$J$33))</f>
        <v/>
      </c>
      <c r="AT42" s="289" t="str">
        <f>IF(ISBLANK('General Information'!F22),"",'General Information'!B22)</f>
        <v/>
      </c>
      <c r="AU42" s="289" t="str">
        <f>IF(ISBLANK('General Information'!F22),"",'General Information'!C22)</f>
        <v/>
      </c>
      <c r="AV42" s="144"/>
      <c r="AW42" s="289" t="str">
        <f>IF(ISBLANK('General Information'!F22),"",'General Information'!F22)</f>
        <v/>
      </c>
      <c r="AX42" s="182"/>
    </row>
    <row r="43" spans="1:50">
      <c r="A43" s="181"/>
      <c r="B43" s="290" t="str">
        <f>IF(ISBLANK('Stationary Combustion'!B17),"",'Stationary Combustion'!B17)</f>
        <v/>
      </c>
      <c r="C43" s="290" t="str">
        <f>IF(ISBLANK('Stationary Combustion'!C17),"",'Stationary Combustion'!C17)</f>
        <v/>
      </c>
      <c r="D43" s="290" t="str">
        <f>IF(ISBLANK('Stationary Combustion'!$E17),"",'Stationary Combustion'!$E17*_xlfn.XLOOKUP('Stationary Combustion'!$D17,Data!$B$6:$B$33,Data!F$6:F$33)/1000)</f>
        <v/>
      </c>
      <c r="E43" s="290" t="str">
        <f>IF(ISBLANK('Stationary Combustion'!$E17),"",'Stationary Combustion'!$E17*_xlfn.XLOOKUP('Stationary Combustion'!$D17,Data!$B$6:$B$33,Data!G$6:G$33)/1000000)</f>
        <v/>
      </c>
      <c r="F43" s="290" t="str">
        <f>IF(ISBLANK('Stationary Combustion'!$E17),"",'Stationary Combustion'!$E17*_xlfn.XLOOKUP('Stationary Combustion'!$D17,Data!$B$6:$B$33,Data!H$6:H$33)/1000000)</f>
        <v/>
      </c>
      <c r="G43" s="144"/>
      <c r="H43" s="290" t="str">
        <f>IF(ISBLANK('Stationary Combustion'!E17),"",Results!D43+25*Results!E43+298*Results!F43)</f>
        <v/>
      </c>
      <c r="I43" s="144"/>
      <c r="J43" s="290" t="str">
        <f>IF(ISBLANK('External Transportation'!B17),"",'External Transportation'!B17)</f>
        <v/>
      </c>
      <c r="K43" s="290" t="str">
        <f>IF(ISBLANK('External Transportation'!C17),"",'External Transportation'!C17)</f>
        <v/>
      </c>
      <c r="L43" s="290" t="str">
        <f>IF(ISBLANK('External Transportation'!$C17),"",_xlfn.XLOOKUP('External Transportation'!$D17,Data!$AH$7:$AH$12,Data!AI$7:AI$12)*'External Transportation'!$E17*'External Transportation'!$F17/1000)</f>
        <v/>
      </c>
      <c r="M43" s="290" t="str">
        <f>IF(ISBLANK('External Transportation'!$C17),"",_xlfn.XLOOKUP('External Transportation'!$D17,Data!$AH$7:$AH$12,Data!AJ$7:AJ$12)*'External Transportation'!$E17*'External Transportation'!$F17/1000000)</f>
        <v/>
      </c>
      <c r="N43" s="290" t="str">
        <f>IF(ISBLANK('External Transportation'!$C17),"",_xlfn.XLOOKUP('External Transportation'!$D17,Data!$AH$7:$AH$12,Data!AK$7:AK$12)*'External Transportation'!$E17*'External Transportation'!$F17/1000000)</f>
        <v/>
      </c>
      <c r="O43" s="144"/>
      <c r="P43" s="290" t="str">
        <f>IF(ISBLANK('External Transportation'!E17),"",Results!L43+25*Results!M43+298*Results!N43)</f>
        <v/>
      </c>
      <c r="Q43" s="144"/>
      <c r="R43" s="290" t="str">
        <f>IF(ISBLANK('Business Travel'!B18),"",'Business Travel'!B18)</f>
        <v/>
      </c>
      <c r="S43" s="290" t="str">
        <f>IF(ISBLANK('Business Travel'!C18),"",'Business Travel'!C18)</f>
        <v/>
      </c>
      <c r="T43" s="290" t="str">
        <f>IF(ISBLANK('Business Travel'!$E18),"",_xlfn.XLOOKUP('Business Travel'!$D18,Data!$T$6:$T$15,Data!U$6:U$15,"")*'Business Travel'!$E18/1000)</f>
        <v/>
      </c>
      <c r="U43" s="290" t="str">
        <f>IF(ISBLANK('Business Travel'!$E18),"",_xlfn.XLOOKUP('Business Travel'!$D18,Data!$T$6:$T$15,Data!V$6:V$15,"")*'Business Travel'!$E18/1000000)</f>
        <v/>
      </c>
      <c r="V43" s="290" t="str">
        <f>IF(ISBLANK('Business Travel'!$E18),"",_xlfn.XLOOKUP('Business Travel'!$D18,Data!$T$6:$T$15,Data!W$6:W$15,"")*'Business Travel'!$E18/1000000)</f>
        <v/>
      </c>
      <c r="W43" s="144"/>
      <c r="X43" s="290" t="str">
        <f>IF(ISBLANK('Business Travel'!E18),"",Results!T43+25*Results!U43+298*Results!V43)</f>
        <v/>
      </c>
      <c r="Y43" s="144"/>
      <c r="Z43" s="290" t="str">
        <f>IF(ISBLANK('Purchased Gases &amp; Refrigerants'!H20),"",'Purchased Gases &amp; Refrigerants'!G20)</f>
        <v/>
      </c>
      <c r="AA43" s="290" t="str">
        <f>IF(ISBLANK('Purchased Gases &amp; Refrigerants'!I20),"",'Purchased Gases &amp; Refrigerants'!H20)</f>
        <v/>
      </c>
      <c r="AB43" s="144"/>
      <c r="AC43" s="290" t="str">
        <f>IF(ISBLANK('Purchased Gases &amp; Refrigerants'!$J20),"",_xlfn.XLOOKUP('Purchased Gases &amp; Refrigerants'!$I20,Data!$AX$6:$AX$41,Data!$AY$6:$AY$41)*'Purchased Gases &amp; Refrigerants'!$J20*0.0004536)</f>
        <v/>
      </c>
      <c r="AD43" s="144"/>
      <c r="AE43" s="144"/>
      <c r="AF43" s="144"/>
      <c r="AG43" s="144"/>
      <c r="AH43" s="144"/>
      <c r="AI43" s="144"/>
      <c r="AJ43" s="144"/>
      <c r="AK43" s="144"/>
      <c r="AL43" s="144"/>
      <c r="AM43" s="144"/>
      <c r="AN43" s="144"/>
      <c r="AO43" s="290" t="str">
        <f>IF(ISBLANK('Stationary Combustion'!$C17),"",'Stationary Combustion'!B17)</f>
        <v/>
      </c>
      <c r="AP43" s="290" t="str">
        <f>IF(ISBLANK('Stationary Combustion'!$C17),"",'Stationary Combustion'!C17)</f>
        <v/>
      </c>
      <c r="AQ43" s="144"/>
      <c r="AR43" s="290" t="str">
        <f>IF(ISBLANK('Stationary Combustion'!E17),"",_xlfn.XLOOKUP('Stationary Combustion'!$D17,Data!$B$6:$B$33,Data!$A$6:$A$33)*'Stationary Combustion'!$E17*_xlfn.XLOOKUP('Stationary Combustion'!D17,Data!$B$6:$B$33,Data!$J$6:$J$33))</f>
        <v/>
      </c>
      <c r="AT43" s="290" t="str">
        <f>IF(ISBLANK('General Information'!F23),"",'General Information'!B23)</f>
        <v/>
      </c>
      <c r="AU43" s="290" t="str">
        <f>IF(ISBLANK('General Information'!F23),"",'General Information'!C23)</f>
        <v/>
      </c>
      <c r="AV43" s="144"/>
      <c r="AW43" s="290" t="str">
        <f>IF(ISBLANK('General Information'!F23),"",'General Information'!F23)</f>
        <v/>
      </c>
      <c r="AX43" s="182"/>
    </row>
    <row r="44" spans="1:50">
      <c r="A44" s="181"/>
      <c r="B44" s="289" t="str">
        <f>IF(ISBLANK('Stationary Combustion'!B18),"",'Stationary Combustion'!B18)</f>
        <v/>
      </c>
      <c r="C44" s="289" t="str">
        <f>IF(ISBLANK('Stationary Combustion'!C18),"",'Stationary Combustion'!C18)</f>
        <v/>
      </c>
      <c r="D44" s="289" t="str">
        <f>IF(ISBLANK('Stationary Combustion'!$E18),"",'Stationary Combustion'!$E18*_xlfn.XLOOKUP('Stationary Combustion'!$D18,Data!$B$6:$B$33,Data!F$6:F$33)/1000)</f>
        <v/>
      </c>
      <c r="E44" s="289" t="str">
        <f>IF(ISBLANK('Stationary Combustion'!$E18),"",'Stationary Combustion'!$E18*_xlfn.XLOOKUP('Stationary Combustion'!$D18,Data!$B$6:$B$33,Data!G$6:G$33)/1000000)</f>
        <v/>
      </c>
      <c r="F44" s="289" t="str">
        <f>IF(ISBLANK('Stationary Combustion'!$E18),"",'Stationary Combustion'!$E18*_xlfn.XLOOKUP('Stationary Combustion'!$D18,Data!$B$6:$B$33,Data!H$6:H$33)/1000000)</f>
        <v/>
      </c>
      <c r="G44" s="144"/>
      <c r="H44" s="289" t="str">
        <f>IF(ISBLANK('Stationary Combustion'!E18),"",Results!D44+25*Results!E44+298*Results!F44)</f>
        <v/>
      </c>
      <c r="I44" s="144"/>
      <c r="J44" s="289" t="str">
        <f>IF(ISBLANK('External Transportation'!B18),"",'External Transportation'!B18)</f>
        <v/>
      </c>
      <c r="K44" s="289" t="str">
        <f>IF(ISBLANK('External Transportation'!C18),"",'External Transportation'!C18)</f>
        <v/>
      </c>
      <c r="L44" s="289" t="str">
        <f>IF(ISBLANK('External Transportation'!$C18),"",_xlfn.XLOOKUP('External Transportation'!$D18,Data!$AH$7:$AH$12,Data!AI$7:AI$12)*'External Transportation'!$E18*'External Transportation'!$F18/1000)</f>
        <v/>
      </c>
      <c r="M44" s="289" t="str">
        <f>IF(ISBLANK('External Transportation'!$C18),"",_xlfn.XLOOKUP('External Transportation'!$D18,Data!$AH$7:$AH$12,Data!AJ$7:AJ$12)*'External Transportation'!$E18*'External Transportation'!$F18/1000000)</f>
        <v/>
      </c>
      <c r="N44" s="289" t="str">
        <f>IF(ISBLANK('External Transportation'!$C18),"",_xlfn.XLOOKUP('External Transportation'!$D18,Data!$AH$7:$AH$12,Data!AK$7:AK$12)*'External Transportation'!$E18*'External Transportation'!$F18/1000000)</f>
        <v/>
      </c>
      <c r="O44" s="144"/>
      <c r="P44" s="289" t="str">
        <f>IF(ISBLANK('External Transportation'!E18),"",Results!L44+25*Results!M44+298*Results!N44)</f>
        <v/>
      </c>
      <c r="Q44" s="144"/>
      <c r="R44" s="289" t="str">
        <f>IF(ISBLANK('Business Travel'!B19),"",'Business Travel'!B19)</f>
        <v/>
      </c>
      <c r="S44" s="289" t="str">
        <f>IF(ISBLANK('Business Travel'!C19),"",'Business Travel'!C19)</f>
        <v/>
      </c>
      <c r="T44" s="289" t="str">
        <f>IF(ISBLANK('Business Travel'!$E19),"",_xlfn.XLOOKUP('Business Travel'!$D19,Data!$T$6:$T$15,Data!U$6:U$15,"")*'Business Travel'!$E19/1000)</f>
        <v/>
      </c>
      <c r="U44" s="289" t="str">
        <f>IF(ISBLANK('Business Travel'!$E19),"",_xlfn.XLOOKUP('Business Travel'!$D19,Data!$T$6:$T$15,Data!V$6:V$15,"")*'Business Travel'!$E19/1000000)</f>
        <v/>
      </c>
      <c r="V44" s="289" t="str">
        <f>IF(ISBLANK('Business Travel'!$E19),"",_xlfn.XLOOKUP('Business Travel'!$D19,Data!$T$6:$T$15,Data!W$6:W$15,"")*'Business Travel'!$E19/1000000)</f>
        <v/>
      </c>
      <c r="W44" s="144"/>
      <c r="X44" s="289" t="str">
        <f>IF(ISBLANK('Business Travel'!E19),"",Results!T44+25*Results!U44+298*Results!V44)</f>
        <v/>
      </c>
      <c r="Y44" s="144"/>
      <c r="Z44" s="289" t="str">
        <f>IF(ISBLANK('Purchased Gases &amp; Refrigerants'!H21),"",'Purchased Gases &amp; Refrigerants'!G21)</f>
        <v/>
      </c>
      <c r="AA44" s="289" t="str">
        <f>IF(ISBLANK('Purchased Gases &amp; Refrigerants'!I21),"",'Purchased Gases &amp; Refrigerants'!H21)</f>
        <v/>
      </c>
      <c r="AB44" s="144"/>
      <c r="AC44" s="289" t="str">
        <f>IF(ISBLANK('Purchased Gases &amp; Refrigerants'!$J21),"",_xlfn.XLOOKUP('Purchased Gases &amp; Refrigerants'!$I21,Data!$AX$6:$AX$41,Data!$AY$6:$AY$41)*'Purchased Gases &amp; Refrigerants'!$J21*0.0004536)</f>
        <v/>
      </c>
      <c r="AD44" s="144"/>
      <c r="AE44" s="144"/>
      <c r="AF44" s="144"/>
      <c r="AG44" s="144"/>
      <c r="AH44" s="144"/>
      <c r="AI44" s="144"/>
      <c r="AJ44" s="144"/>
      <c r="AK44" s="144"/>
      <c r="AL44" s="144"/>
      <c r="AM44" s="144"/>
      <c r="AN44" s="144"/>
      <c r="AO44" s="289" t="str">
        <f>IF(ISBLANK('Stationary Combustion'!$C18),"",'Stationary Combustion'!B18)</f>
        <v/>
      </c>
      <c r="AP44" s="289" t="str">
        <f>IF(ISBLANK('Stationary Combustion'!$C18),"",'Stationary Combustion'!C18)</f>
        <v/>
      </c>
      <c r="AQ44" s="144"/>
      <c r="AR44" s="289" t="str">
        <f>IF(ISBLANK('Stationary Combustion'!E18),"",_xlfn.XLOOKUP('Stationary Combustion'!$D18,Data!$B$6:$B$33,Data!$A$6:$A$33)*'Stationary Combustion'!$E18*_xlfn.XLOOKUP('Stationary Combustion'!D18,Data!$B$6:$B$33,Data!$J$6:$J$33))</f>
        <v/>
      </c>
      <c r="AT44" s="289" t="str">
        <f>IF(ISBLANK('General Information'!F24),"",'General Information'!B24)</f>
        <v/>
      </c>
      <c r="AU44" s="289" t="str">
        <f>IF(ISBLANK('General Information'!F24),"",'General Information'!C24)</f>
        <v/>
      </c>
      <c r="AV44" s="144"/>
      <c r="AW44" s="289" t="str">
        <f>IF(ISBLANK('General Information'!F24),"",'General Information'!F24)</f>
        <v/>
      </c>
      <c r="AX44" s="182"/>
    </row>
    <row r="45" spans="1:50">
      <c r="A45" s="181"/>
      <c r="B45" s="290" t="str">
        <f>IF(ISBLANK('Stationary Combustion'!B19),"",'Stationary Combustion'!B19)</f>
        <v/>
      </c>
      <c r="C45" s="290" t="str">
        <f>IF(ISBLANK('Stationary Combustion'!C19),"",'Stationary Combustion'!C19)</f>
        <v/>
      </c>
      <c r="D45" s="290" t="str">
        <f>IF(ISBLANK('Stationary Combustion'!$E19),"",'Stationary Combustion'!$E19*_xlfn.XLOOKUP('Stationary Combustion'!$D19,Data!$B$6:$B$33,Data!F$6:F$33)/1000)</f>
        <v/>
      </c>
      <c r="E45" s="290" t="str">
        <f>IF(ISBLANK('Stationary Combustion'!$E19),"",'Stationary Combustion'!$E19*_xlfn.XLOOKUP('Stationary Combustion'!$D19,Data!$B$6:$B$33,Data!G$6:G$33)/1000000)</f>
        <v/>
      </c>
      <c r="F45" s="290" t="str">
        <f>IF(ISBLANK('Stationary Combustion'!$E19),"",'Stationary Combustion'!$E19*_xlfn.XLOOKUP('Stationary Combustion'!$D19,Data!$B$6:$B$33,Data!H$6:H$33)/1000000)</f>
        <v/>
      </c>
      <c r="G45" s="144"/>
      <c r="H45" s="290" t="str">
        <f>IF(ISBLANK('Stationary Combustion'!E19),"",Results!D45+25*Results!E45+298*Results!F45)</f>
        <v/>
      </c>
      <c r="I45" s="144"/>
      <c r="J45" s="290" t="str">
        <f>IF(ISBLANK('External Transportation'!B19),"",'External Transportation'!B19)</f>
        <v/>
      </c>
      <c r="K45" s="290" t="str">
        <f>IF(ISBLANK('External Transportation'!C19),"",'External Transportation'!C19)</f>
        <v/>
      </c>
      <c r="L45" s="290" t="str">
        <f>IF(ISBLANK('External Transportation'!$C19),"",_xlfn.XLOOKUP('External Transportation'!$D19,Data!$AH$7:$AH$12,Data!AI$7:AI$12)*'External Transportation'!$E19*'External Transportation'!$F19/1000)</f>
        <v/>
      </c>
      <c r="M45" s="290" t="str">
        <f>IF(ISBLANK('External Transportation'!$C19),"",_xlfn.XLOOKUP('External Transportation'!$D19,Data!$AH$7:$AH$12,Data!AJ$7:AJ$12)*'External Transportation'!$E19*'External Transportation'!$F19/1000000)</f>
        <v/>
      </c>
      <c r="N45" s="290" t="str">
        <f>IF(ISBLANK('External Transportation'!$C19),"",_xlfn.XLOOKUP('External Transportation'!$D19,Data!$AH$7:$AH$12,Data!AK$7:AK$12)*'External Transportation'!$E19*'External Transportation'!$F19/1000000)</f>
        <v/>
      </c>
      <c r="O45" s="144"/>
      <c r="P45" s="290" t="str">
        <f>IF(ISBLANK('External Transportation'!E19),"",Results!L45+25*Results!M45+298*Results!N45)</f>
        <v/>
      </c>
      <c r="Q45" s="144"/>
      <c r="R45" s="290" t="str">
        <f>IF(ISBLANK('Business Travel'!B20),"",'Business Travel'!B20)</f>
        <v/>
      </c>
      <c r="S45" s="290" t="str">
        <f>IF(ISBLANK('Business Travel'!C20),"",'Business Travel'!C20)</f>
        <v/>
      </c>
      <c r="T45" s="290" t="str">
        <f>IF(ISBLANK('Business Travel'!$E20),"",_xlfn.XLOOKUP('Business Travel'!$D20,Data!$T$6:$T$15,Data!U$6:U$15,"")*'Business Travel'!$E20/1000)</f>
        <v/>
      </c>
      <c r="U45" s="290" t="str">
        <f>IF(ISBLANK('Business Travel'!$E20),"",_xlfn.XLOOKUP('Business Travel'!$D20,Data!$T$6:$T$15,Data!V$6:V$15,"")*'Business Travel'!$E20/1000000)</f>
        <v/>
      </c>
      <c r="V45" s="290" t="str">
        <f>IF(ISBLANK('Business Travel'!$E20),"",_xlfn.XLOOKUP('Business Travel'!$D20,Data!$T$6:$T$15,Data!W$6:W$15,"")*'Business Travel'!$E20/1000000)</f>
        <v/>
      </c>
      <c r="W45" s="144"/>
      <c r="X45" s="290" t="str">
        <f>IF(ISBLANK('Business Travel'!E20),"",Results!T45+25*Results!U45+298*Results!V45)</f>
        <v/>
      </c>
      <c r="Y45" s="144"/>
      <c r="Z45" s="290" t="str">
        <f>IF(ISBLANK('Purchased Gases &amp; Refrigerants'!H22),"",'Purchased Gases &amp; Refrigerants'!G22)</f>
        <v/>
      </c>
      <c r="AA45" s="290" t="str">
        <f>IF(ISBLANK('Purchased Gases &amp; Refrigerants'!I22),"",'Purchased Gases &amp; Refrigerants'!H22)</f>
        <v/>
      </c>
      <c r="AB45" s="144"/>
      <c r="AC45" s="290" t="str">
        <f>IF(ISBLANK('Purchased Gases &amp; Refrigerants'!$J22),"",_xlfn.XLOOKUP('Purchased Gases &amp; Refrigerants'!$I22,Data!$AX$6:$AX$41,Data!$AY$6:$AY$41)*'Purchased Gases &amp; Refrigerants'!$J22*0.0004536)</f>
        <v/>
      </c>
      <c r="AD45" s="144"/>
      <c r="AE45" s="144"/>
      <c r="AF45" s="144"/>
      <c r="AG45" s="144"/>
      <c r="AH45" s="144"/>
      <c r="AI45" s="144"/>
      <c r="AJ45" s="144"/>
      <c r="AK45" s="144"/>
      <c r="AL45" s="144"/>
      <c r="AM45" s="144"/>
      <c r="AN45" s="144"/>
      <c r="AO45" s="290" t="str">
        <f>IF(ISBLANK('Stationary Combustion'!$C19),"",'Stationary Combustion'!B19)</f>
        <v/>
      </c>
      <c r="AP45" s="290" t="str">
        <f>IF(ISBLANK('Stationary Combustion'!$C19),"",'Stationary Combustion'!C19)</f>
        <v/>
      </c>
      <c r="AQ45" s="144"/>
      <c r="AR45" s="290" t="str">
        <f>IF(ISBLANK('Stationary Combustion'!E19),"",_xlfn.XLOOKUP('Stationary Combustion'!$D19,Data!$B$6:$B$33,Data!$A$6:$A$33)*'Stationary Combustion'!$E19*_xlfn.XLOOKUP('Stationary Combustion'!D19,Data!$B$6:$B$33,Data!$J$6:$J$33))</f>
        <v/>
      </c>
      <c r="AT45" s="290" t="str">
        <f>IF(ISBLANK('General Information'!F25),"",'General Information'!B25)</f>
        <v/>
      </c>
      <c r="AU45" s="290" t="str">
        <f>IF(ISBLANK('General Information'!F25),"",'General Information'!C25)</f>
        <v/>
      </c>
      <c r="AV45" s="144"/>
      <c r="AW45" s="290" t="str">
        <f>IF(ISBLANK('General Information'!F25),"",'General Information'!F25)</f>
        <v/>
      </c>
      <c r="AX45" s="182"/>
    </row>
    <row r="46" spans="1:50">
      <c r="A46" s="181"/>
      <c r="B46" s="289" t="str">
        <f>IF(ISBLANK('Stationary Combustion'!B20),"",'Stationary Combustion'!B20)</f>
        <v/>
      </c>
      <c r="C46" s="289" t="str">
        <f>IF(ISBLANK('Stationary Combustion'!C20),"",'Stationary Combustion'!C20)</f>
        <v/>
      </c>
      <c r="D46" s="289" t="str">
        <f>IF(ISBLANK('Stationary Combustion'!$E20),"",'Stationary Combustion'!$E20*_xlfn.XLOOKUP('Stationary Combustion'!$D20,Data!$B$6:$B$33,Data!F$6:F$33)/1000)</f>
        <v/>
      </c>
      <c r="E46" s="289" t="str">
        <f>IF(ISBLANK('Stationary Combustion'!$E20),"",'Stationary Combustion'!$E20*_xlfn.XLOOKUP('Stationary Combustion'!$D20,Data!$B$6:$B$33,Data!G$6:G$33)/1000000)</f>
        <v/>
      </c>
      <c r="F46" s="289" t="str">
        <f>IF(ISBLANK('Stationary Combustion'!$E20),"",'Stationary Combustion'!$E20*_xlfn.XLOOKUP('Stationary Combustion'!$D20,Data!$B$6:$B$33,Data!H$6:H$33)/1000000)</f>
        <v/>
      </c>
      <c r="G46" s="144"/>
      <c r="H46" s="289" t="str">
        <f>IF(ISBLANK('Stationary Combustion'!E20),"",Results!D46+25*Results!E46+298*Results!F46)</f>
        <v/>
      </c>
      <c r="I46" s="144"/>
      <c r="J46" s="289" t="str">
        <f>IF(ISBLANK('External Transportation'!B20),"",'External Transportation'!B20)</f>
        <v/>
      </c>
      <c r="K46" s="289" t="str">
        <f>IF(ISBLANK('External Transportation'!C20),"",'External Transportation'!C20)</f>
        <v/>
      </c>
      <c r="L46" s="289" t="str">
        <f>IF(ISBLANK('External Transportation'!$C20),"",_xlfn.XLOOKUP('External Transportation'!$D20,Data!$AH$7:$AH$12,Data!AI$7:AI$12)*'External Transportation'!$E20*'External Transportation'!$F20/1000)</f>
        <v/>
      </c>
      <c r="M46" s="289" t="str">
        <f>IF(ISBLANK('External Transportation'!$C20),"",_xlfn.XLOOKUP('External Transportation'!$D20,Data!$AH$7:$AH$12,Data!AJ$7:AJ$12)*'External Transportation'!$E20*'External Transportation'!$F20/1000000)</f>
        <v/>
      </c>
      <c r="N46" s="289" t="str">
        <f>IF(ISBLANK('External Transportation'!$C20),"",_xlfn.XLOOKUP('External Transportation'!$D20,Data!$AH$7:$AH$12,Data!AK$7:AK$12)*'External Transportation'!$E20*'External Transportation'!$F20/1000000)</f>
        <v/>
      </c>
      <c r="O46" s="144"/>
      <c r="P46" s="289" t="str">
        <f>IF(ISBLANK('External Transportation'!E20),"",Results!L46+25*Results!M46+298*Results!N46)</f>
        <v/>
      </c>
      <c r="Q46" s="144"/>
      <c r="R46" s="289" t="str">
        <f>IF(ISBLANK('Business Travel'!B21),"",'Business Travel'!B21)</f>
        <v/>
      </c>
      <c r="S46" s="289" t="str">
        <f>IF(ISBLANK('Business Travel'!C21),"",'Business Travel'!C21)</f>
        <v/>
      </c>
      <c r="T46" s="289" t="str">
        <f>IF(ISBLANK('Business Travel'!$E21),"",_xlfn.XLOOKUP('Business Travel'!$D21,Data!$T$6:$T$15,Data!U$6:U$15,"")*'Business Travel'!$E21/1000)</f>
        <v/>
      </c>
      <c r="U46" s="289" t="str">
        <f>IF(ISBLANK('Business Travel'!$E21),"",_xlfn.XLOOKUP('Business Travel'!$D21,Data!$T$6:$T$15,Data!V$6:V$15,"")*'Business Travel'!$E21/1000000)</f>
        <v/>
      </c>
      <c r="V46" s="289" t="str">
        <f>IF(ISBLANK('Business Travel'!$E21),"",_xlfn.XLOOKUP('Business Travel'!$D21,Data!$T$6:$T$15,Data!W$6:W$15,"")*'Business Travel'!$E21/1000000)</f>
        <v/>
      </c>
      <c r="W46" s="144"/>
      <c r="X46" s="289" t="str">
        <f>IF(ISBLANK('Business Travel'!E21),"",Results!T46+25*Results!U46+298*Results!V46)</f>
        <v/>
      </c>
      <c r="Y46" s="144"/>
      <c r="Z46" s="289" t="str">
        <f>IF(ISBLANK('Purchased Gases &amp; Refrigerants'!H23),"",'Purchased Gases &amp; Refrigerants'!G23)</f>
        <v/>
      </c>
      <c r="AA46" s="289" t="str">
        <f>IF(ISBLANK('Purchased Gases &amp; Refrigerants'!I23),"",'Purchased Gases &amp; Refrigerants'!H23)</f>
        <v/>
      </c>
      <c r="AB46" s="144"/>
      <c r="AC46" s="289" t="str">
        <f>IF(ISBLANK('Purchased Gases &amp; Refrigerants'!$J23),"",_xlfn.XLOOKUP('Purchased Gases &amp; Refrigerants'!$I23,Data!$AX$6:$AX$41,Data!$AY$6:$AY$41)*'Purchased Gases &amp; Refrigerants'!$J23*0.0004536)</f>
        <v/>
      </c>
      <c r="AD46" s="144"/>
      <c r="AE46" s="144"/>
      <c r="AF46" s="144"/>
      <c r="AG46" s="144"/>
      <c r="AH46" s="144"/>
      <c r="AI46" s="144"/>
      <c r="AJ46" s="144"/>
      <c r="AK46" s="144"/>
      <c r="AL46" s="144"/>
      <c r="AM46" s="144"/>
      <c r="AN46" s="144"/>
      <c r="AO46" s="289" t="str">
        <f>IF(ISBLANK('Stationary Combustion'!$C20),"",'Stationary Combustion'!B20)</f>
        <v/>
      </c>
      <c r="AP46" s="289" t="str">
        <f>IF(ISBLANK('Stationary Combustion'!$C20),"",'Stationary Combustion'!C20)</f>
        <v/>
      </c>
      <c r="AQ46" s="144"/>
      <c r="AR46" s="289" t="str">
        <f>IF(ISBLANK('Stationary Combustion'!E20),"",_xlfn.XLOOKUP('Stationary Combustion'!$D20,Data!$B$6:$B$33,Data!$A$6:$A$33)*'Stationary Combustion'!$E20*_xlfn.XLOOKUP('Stationary Combustion'!D20,Data!$B$6:$B$33,Data!$J$6:$J$33))</f>
        <v/>
      </c>
      <c r="AT46" s="289" t="str">
        <f>IF(ISBLANK('General Information'!F26),"",'General Information'!B26)</f>
        <v/>
      </c>
      <c r="AU46" s="289" t="str">
        <f>IF(ISBLANK('General Information'!F26),"",'General Information'!C26)</f>
        <v/>
      </c>
      <c r="AV46" s="144"/>
      <c r="AW46" s="289" t="str">
        <f>IF(ISBLANK('General Information'!F26),"",'General Information'!F26)</f>
        <v/>
      </c>
      <c r="AX46" s="182"/>
    </row>
    <row r="47" spans="1:50">
      <c r="A47" s="181"/>
      <c r="B47" s="290" t="str">
        <f>IF(ISBLANK('Stationary Combustion'!B21),"",'Stationary Combustion'!B21)</f>
        <v/>
      </c>
      <c r="C47" s="290" t="str">
        <f>IF(ISBLANK('Stationary Combustion'!C21),"",'Stationary Combustion'!C21)</f>
        <v/>
      </c>
      <c r="D47" s="290" t="str">
        <f>IF(ISBLANK('Stationary Combustion'!$E21),"",'Stationary Combustion'!$E21*_xlfn.XLOOKUP('Stationary Combustion'!$D21,Data!$B$6:$B$33,Data!F$6:F$33)/1000)</f>
        <v/>
      </c>
      <c r="E47" s="290" t="str">
        <f>IF(ISBLANK('Stationary Combustion'!$E21),"",'Stationary Combustion'!$E21*_xlfn.XLOOKUP('Stationary Combustion'!$D21,Data!$B$6:$B$33,Data!G$6:G$33)/1000000)</f>
        <v/>
      </c>
      <c r="F47" s="290" t="str">
        <f>IF(ISBLANK('Stationary Combustion'!$E21),"",'Stationary Combustion'!$E21*_xlfn.XLOOKUP('Stationary Combustion'!$D21,Data!$B$6:$B$33,Data!H$6:H$33)/1000000)</f>
        <v/>
      </c>
      <c r="G47" s="144"/>
      <c r="H47" s="290" t="str">
        <f>IF(ISBLANK('Stationary Combustion'!E21),"",Results!D47+25*Results!E47+298*Results!F47)</f>
        <v/>
      </c>
      <c r="I47" s="144"/>
      <c r="J47" s="290" t="str">
        <f>IF(ISBLANK('External Transportation'!B21),"",'External Transportation'!B21)</f>
        <v/>
      </c>
      <c r="K47" s="290" t="str">
        <f>IF(ISBLANK('External Transportation'!C21),"",'External Transportation'!C21)</f>
        <v/>
      </c>
      <c r="L47" s="290" t="str">
        <f>IF(ISBLANK('External Transportation'!$C21),"",_xlfn.XLOOKUP('External Transportation'!$D21,Data!$AH$7:$AH$12,Data!AI$7:AI$12)*'External Transportation'!$E21*'External Transportation'!$F21/1000)</f>
        <v/>
      </c>
      <c r="M47" s="290" t="str">
        <f>IF(ISBLANK('External Transportation'!$C21),"",_xlfn.XLOOKUP('External Transportation'!$D21,Data!$AH$7:$AH$12,Data!AJ$7:AJ$12)*'External Transportation'!$E21*'External Transportation'!$F21/1000000)</f>
        <v/>
      </c>
      <c r="N47" s="290" t="str">
        <f>IF(ISBLANK('External Transportation'!$C21),"",_xlfn.XLOOKUP('External Transportation'!$D21,Data!$AH$7:$AH$12,Data!AK$7:AK$12)*'External Transportation'!$E21*'External Transportation'!$F21/1000000)</f>
        <v/>
      </c>
      <c r="O47" s="144"/>
      <c r="P47" s="290" t="str">
        <f>IF(ISBLANK('External Transportation'!E21),"",Results!L47+25*Results!M47+298*Results!N47)</f>
        <v/>
      </c>
      <c r="Q47" s="144"/>
      <c r="R47" s="290" t="str">
        <f>IF(ISBLANK('Business Travel'!B22),"",'Business Travel'!B22)</f>
        <v/>
      </c>
      <c r="S47" s="290" t="str">
        <f>IF(ISBLANK('Business Travel'!C22),"",'Business Travel'!C22)</f>
        <v/>
      </c>
      <c r="T47" s="290" t="str">
        <f>IF(ISBLANK('Business Travel'!$E22),"",_xlfn.XLOOKUP('Business Travel'!$D22,Data!$T$6:$T$15,Data!U$6:U$15,"")*'Business Travel'!$E22/1000)</f>
        <v/>
      </c>
      <c r="U47" s="290" t="str">
        <f>IF(ISBLANK('Business Travel'!$E22),"",_xlfn.XLOOKUP('Business Travel'!$D22,Data!$T$6:$T$15,Data!V$6:V$15,"")*'Business Travel'!$E22/1000000)</f>
        <v/>
      </c>
      <c r="V47" s="290" t="str">
        <f>IF(ISBLANK('Business Travel'!$E22),"",_xlfn.XLOOKUP('Business Travel'!$D22,Data!$T$6:$T$15,Data!W$6:W$15,"")*'Business Travel'!$E22/1000000)</f>
        <v/>
      </c>
      <c r="W47" s="144"/>
      <c r="X47" s="290" t="str">
        <f>IF(ISBLANK('Business Travel'!E22),"",Results!T47+25*Results!U47+298*Results!V47)</f>
        <v/>
      </c>
      <c r="Y47" s="144"/>
      <c r="Z47" s="290" t="str">
        <f>IF(ISBLANK('Purchased Gases &amp; Refrigerants'!H24),"",'Purchased Gases &amp; Refrigerants'!G24)</f>
        <v/>
      </c>
      <c r="AA47" s="290" t="str">
        <f>IF(ISBLANK('Purchased Gases &amp; Refrigerants'!I24),"",'Purchased Gases &amp; Refrigerants'!H24)</f>
        <v/>
      </c>
      <c r="AB47" s="144"/>
      <c r="AC47" s="290" t="str">
        <f>IF(ISBLANK('Purchased Gases &amp; Refrigerants'!$J24),"",_xlfn.XLOOKUP('Purchased Gases &amp; Refrigerants'!$I24,Data!$AX$6:$AX$41,Data!$AY$6:$AY$41)*'Purchased Gases &amp; Refrigerants'!$J24*0.0004536)</f>
        <v/>
      </c>
      <c r="AD47" s="144"/>
      <c r="AE47" s="144"/>
      <c r="AF47" s="144"/>
      <c r="AG47" s="144"/>
      <c r="AH47" s="144"/>
      <c r="AI47" s="144"/>
      <c r="AJ47" s="144"/>
      <c r="AK47" s="144"/>
      <c r="AL47" s="144"/>
      <c r="AM47" s="144"/>
      <c r="AN47" s="144"/>
      <c r="AO47" s="290" t="str">
        <f>IF(ISBLANK('Stationary Combustion'!$C21),"",'Stationary Combustion'!B21)</f>
        <v/>
      </c>
      <c r="AP47" s="290" t="str">
        <f>IF(ISBLANK('Stationary Combustion'!$C21),"",'Stationary Combustion'!C21)</f>
        <v/>
      </c>
      <c r="AQ47" s="144"/>
      <c r="AR47" s="290" t="str">
        <f>IF(ISBLANK('Stationary Combustion'!E21),"",_xlfn.XLOOKUP('Stationary Combustion'!$D21,Data!$B$6:$B$33,Data!$A$6:$A$33)*'Stationary Combustion'!$E21*_xlfn.XLOOKUP('Stationary Combustion'!D21,Data!$B$6:$B$33,Data!$J$6:$J$33))</f>
        <v/>
      </c>
      <c r="AT47" s="290" t="str">
        <f>IF(ISBLANK('General Information'!F27),"",'General Information'!B27)</f>
        <v/>
      </c>
      <c r="AU47" s="290" t="str">
        <f>IF(ISBLANK('General Information'!F27),"",'General Information'!C27)</f>
        <v/>
      </c>
      <c r="AV47" s="144"/>
      <c r="AW47" s="290" t="str">
        <f>IF(ISBLANK('General Information'!F27),"",'General Information'!F27)</f>
        <v/>
      </c>
      <c r="AX47" s="182"/>
    </row>
    <row r="48" spans="1:50">
      <c r="A48" s="181"/>
      <c r="B48" s="289" t="str">
        <f>IF(ISBLANK('Stationary Combustion'!B22),"",'Stationary Combustion'!B22)</f>
        <v/>
      </c>
      <c r="C48" s="289" t="str">
        <f>IF(ISBLANK('Stationary Combustion'!C22),"",'Stationary Combustion'!C22)</f>
        <v/>
      </c>
      <c r="D48" s="289" t="str">
        <f>IF(ISBLANK('Stationary Combustion'!$E22),"",'Stationary Combustion'!$E22*_xlfn.XLOOKUP('Stationary Combustion'!$D22,Data!$B$6:$B$33,Data!F$6:F$33)/1000)</f>
        <v/>
      </c>
      <c r="E48" s="289" t="str">
        <f>IF(ISBLANK('Stationary Combustion'!$E22),"",'Stationary Combustion'!$E22*_xlfn.XLOOKUP('Stationary Combustion'!$D22,Data!$B$6:$B$33,Data!G$6:G$33)/1000000)</f>
        <v/>
      </c>
      <c r="F48" s="289" t="str">
        <f>IF(ISBLANK('Stationary Combustion'!$E22),"",'Stationary Combustion'!$E22*_xlfn.XLOOKUP('Stationary Combustion'!$D22,Data!$B$6:$B$33,Data!H$6:H$33)/1000000)</f>
        <v/>
      </c>
      <c r="G48" s="144"/>
      <c r="H48" s="289" t="str">
        <f>IF(ISBLANK('Stationary Combustion'!E22),"",Results!D48+25*Results!E48+298*Results!F48)</f>
        <v/>
      </c>
      <c r="I48" s="144"/>
      <c r="J48" s="289" t="str">
        <f>IF(ISBLANK('External Transportation'!B22),"",'External Transportation'!B22)</f>
        <v/>
      </c>
      <c r="K48" s="289" t="str">
        <f>IF(ISBLANK('External Transportation'!C22),"",'External Transportation'!C22)</f>
        <v/>
      </c>
      <c r="L48" s="289" t="str">
        <f>IF(ISBLANK('External Transportation'!$C22),"",_xlfn.XLOOKUP('External Transportation'!$D22,Data!$AH$7:$AH$12,Data!AI$7:AI$12)*'External Transportation'!$E22*'External Transportation'!$F22/1000)</f>
        <v/>
      </c>
      <c r="M48" s="289" t="str">
        <f>IF(ISBLANK('External Transportation'!$C22),"",_xlfn.XLOOKUP('External Transportation'!$D22,Data!$AH$7:$AH$12,Data!AJ$7:AJ$12)*'External Transportation'!$E22*'External Transportation'!$F22/1000000)</f>
        <v/>
      </c>
      <c r="N48" s="289" t="str">
        <f>IF(ISBLANK('External Transportation'!$C22),"",_xlfn.XLOOKUP('External Transportation'!$D22,Data!$AH$7:$AH$12,Data!AK$7:AK$12)*'External Transportation'!$E22*'External Transportation'!$F22/1000000)</f>
        <v/>
      </c>
      <c r="O48" s="144"/>
      <c r="P48" s="289" t="str">
        <f>IF(ISBLANK('External Transportation'!E22),"",Results!L48+25*Results!M48+298*Results!N48)</f>
        <v/>
      </c>
      <c r="Q48" s="144"/>
      <c r="R48" s="289" t="str">
        <f>IF(ISBLANK('Business Travel'!B23),"",'Business Travel'!B23)</f>
        <v/>
      </c>
      <c r="S48" s="289" t="str">
        <f>IF(ISBLANK('Business Travel'!C23),"",'Business Travel'!C23)</f>
        <v/>
      </c>
      <c r="T48" s="289" t="str">
        <f>IF(ISBLANK('Business Travel'!$E23),"",_xlfn.XLOOKUP('Business Travel'!$D23,Data!$T$6:$T$15,Data!U$6:U$15,"")*'Business Travel'!$E23/1000)</f>
        <v/>
      </c>
      <c r="U48" s="289" t="str">
        <f>IF(ISBLANK('Business Travel'!$E23),"",_xlfn.XLOOKUP('Business Travel'!$D23,Data!$T$6:$T$15,Data!V$6:V$15,"")*'Business Travel'!$E23/1000000)</f>
        <v/>
      </c>
      <c r="V48" s="289" t="str">
        <f>IF(ISBLANK('Business Travel'!$E23),"",_xlfn.XLOOKUP('Business Travel'!$D23,Data!$T$6:$T$15,Data!W$6:W$15,"")*'Business Travel'!$E23/1000000)</f>
        <v/>
      </c>
      <c r="W48" s="144"/>
      <c r="X48" s="289" t="str">
        <f>IF(ISBLANK('Business Travel'!E23),"",Results!T48+25*Results!U48+298*Results!V48)</f>
        <v/>
      </c>
      <c r="Y48" s="144"/>
      <c r="Z48" s="289" t="str">
        <f>IF(ISBLANK('Purchased Gases &amp; Refrigerants'!H25),"",'Purchased Gases &amp; Refrigerants'!G25)</f>
        <v/>
      </c>
      <c r="AA48" s="289" t="str">
        <f>IF(ISBLANK('Purchased Gases &amp; Refrigerants'!I25),"",'Purchased Gases &amp; Refrigerants'!H25)</f>
        <v/>
      </c>
      <c r="AB48" s="144"/>
      <c r="AC48" s="289" t="str">
        <f>IF(ISBLANK('Purchased Gases &amp; Refrigerants'!$J25),"",_xlfn.XLOOKUP('Purchased Gases &amp; Refrigerants'!$I25,Data!$AX$6:$AX$41,Data!$AY$6:$AY$41)*'Purchased Gases &amp; Refrigerants'!$J25*0.0004536)</f>
        <v/>
      </c>
      <c r="AD48" s="144"/>
      <c r="AE48" s="144"/>
      <c r="AF48" s="144"/>
      <c r="AG48" s="144"/>
      <c r="AH48" s="144"/>
      <c r="AI48" s="144"/>
      <c r="AJ48" s="144"/>
      <c r="AK48" s="144"/>
      <c r="AL48" s="144"/>
      <c r="AM48" s="144"/>
      <c r="AN48" s="144"/>
      <c r="AO48" s="289" t="str">
        <f>IF(ISBLANK('Stationary Combustion'!$C22),"",'Stationary Combustion'!B22)</f>
        <v/>
      </c>
      <c r="AP48" s="289" t="str">
        <f>IF(ISBLANK('Stationary Combustion'!$C22),"",'Stationary Combustion'!C22)</f>
        <v/>
      </c>
      <c r="AQ48" s="144"/>
      <c r="AR48" s="289" t="str">
        <f>IF(ISBLANK('Stationary Combustion'!E22),"",_xlfn.XLOOKUP('Stationary Combustion'!$D22,Data!$B$6:$B$33,Data!$A$6:$A$33)*'Stationary Combustion'!$E22*_xlfn.XLOOKUP('Stationary Combustion'!D22,Data!$B$6:$B$33,Data!$J$6:$J$33))</f>
        <v/>
      </c>
      <c r="AT48" s="289" t="str">
        <f>IF(ISBLANK('General Information'!F28),"",'General Information'!B28)</f>
        <v/>
      </c>
      <c r="AU48" s="289" t="str">
        <f>IF(ISBLANK('General Information'!F28),"",'General Information'!C28)</f>
        <v/>
      </c>
      <c r="AV48" s="144"/>
      <c r="AW48" s="289" t="str">
        <f>IF(ISBLANK('General Information'!F28),"",'General Information'!F28)</f>
        <v/>
      </c>
      <c r="AX48" s="182"/>
    </row>
    <row r="49" spans="1:50">
      <c r="A49" s="181"/>
      <c r="B49" s="290" t="str">
        <f>IF(ISBLANK('Stationary Combustion'!B23),"",'Stationary Combustion'!B23)</f>
        <v/>
      </c>
      <c r="C49" s="290" t="str">
        <f>IF(ISBLANK('Stationary Combustion'!C23),"",'Stationary Combustion'!C23)</f>
        <v/>
      </c>
      <c r="D49" s="290" t="str">
        <f>IF(ISBLANK('Stationary Combustion'!$E23),"",'Stationary Combustion'!$E23*_xlfn.XLOOKUP('Stationary Combustion'!$D23,Data!$B$6:$B$33,Data!F$6:F$33)/1000)</f>
        <v/>
      </c>
      <c r="E49" s="290" t="str">
        <f>IF(ISBLANK('Stationary Combustion'!$E23),"",'Stationary Combustion'!$E23*_xlfn.XLOOKUP('Stationary Combustion'!$D23,Data!$B$6:$B$33,Data!G$6:G$33)/1000000)</f>
        <v/>
      </c>
      <c r="F49" s="290" t="str">
        <f>IF(ISBLANK('Stationary Combustion'!$E23),"",'Stationary Combustion'!$E23*_xlfn.XLOOKUP('Stationary Combustion'!$D23,Data!$B$6:$B$33,Data!H$6:H$33)/1000000)</f>
        <v/>
      </c>
      <c r="G49" s="144"/>
      <c r="H49" s="290" t="str">
        <f>IF(ISBLANK('Stationary Combustion'!E23),"",Results!D49+25*Results!E49+298*Results!F49)</f>
        <v/>
      </c>
      <c r="I49" s="144"/>
      <c r="J49" s="290" t="str">
        <f>IF(ISBLANK('External Transportation'!B23),"",'External Transportation'!B23)</f>
        <v/>
      </c>
      <c r="K49" s="290" t="str">
        <f>IF(ISBLANK('External Transportation'!C23),"",'External Transportation'!C23)</f>
        <v/>
      </c>
      <c r="L49" s="290" t="str">
        <f>IF(ISBLANK('External Transportation'!$C23),"",_xlfn.XLOOKUP('External Transportation'!$D23,Data!$AH$7:$AH$12,Data!AI$7:AI$12)*'External Transportation'!$E23*'External Transportation'!$F23/1000)</f>
        <v/>
      </c>
      <c r="M49" s="290" t="str">
        <f>IF(ISBLANK('External Transportation'!$C23),"",_xlfn.XLOOKUP('External Transportation'!$D23,Data!$AH$7:$AH$12,Data!AJ$7:AJ$12)*'External Transportation'!$E23*'External Transportation'!$F23/1000000)</f>
        <v/>
      </c>
      <c r="N49" s="290" t="str">
        <f>IF(ISBLANK('External Transportation'!$C23),"",_xlfn.XLOOKUP('External Transportation'!$D23,Data!$AH$7:$AH$12,Data!AK$7:AK$12)*'External Transportation'!$E23*'External Transportation'!$F23/1000000)</f>
        <v/>
      </c>
      <c r="O49" s="144"/>
      <c r="P49" s="290" t="str">
        <f>IF(ISBLANK('External Transportation'!E23),"",Results!L49+25*Results!M49+298*Results!N49)</f>
        <v/>
      </c>
      <c r="Q49" s="144"/>
      <c r="R49" s="290" t="str">
        <f>IF(ISBLANK('Business Travel'!B24),"",'Business Travel'!B24)</f>
        <v/>
      </c>
      <c r="S49" s="290" t="str">
        <f>IF(ISBLANK('Business Travel'!C24),"",'Business Travel'!C24)</f>
        <v/>
      </c>
      <c r="T49" s="290" t="str">
        <f>IF(ISBLANK('Business Travel'!$E24),"",_xlfn.XLOOKUP('Business Travel'!$D24,Data!$T$6:$T$15,Data!U$6:U$15,"")*'Business Travel'!$E24/1000)</f>
        <v/>
      </c>
      <c r="U49" s="290" t="str">
        <f>IF(ISBLANK('Business Travel'!$E24),"",_xlfn.XLOOKUP('Business Travel'!$D24,Data!$T$6:$T$15,Data!V$6:V$15,"")*'Business Travel'!$E24/1000000)</f>
        <v/>
      </c>
      <c r="V49" s="290" t="str">
        <f>IF(ISBLANK('Business Travel'!$E24),"",_xlfn.XLOOKUP('Business Travel'!$D24,Data!$T$6:$T$15,Data!W$6:W$15,"")*'Business Travel'!$E24/1000000)</f>
        <v/>
      </c>
      <c r="W49" s="144"/>
      <c r="X49" s="290" t="str">
        <f>IF(ISBLANK('Business Travel'!E24),"",Results!T49+25*Results!U49+298*Results!V49)</f>
        <v/>
      </c>
      <c r="Y49" s="144"/>
      <c r="Z49" s="290" t="str">
        <f>IF(ISBLANK('Purchased Gases &amp; Refrigerants'!H26),"",'Purchased Gases &amp; Refrigerants'!G26)</f>
        <v/>
      </c>
      <c r="AA49" s="290" t="str">
        <f>IF(ISBLANK('Purchased Gases &amp; Refrigerants'!I26),"",'Purchased Gases &amp; Refrigerants'!H26)</f>
        <v/>
      </c>
      <c r="AB49" s="144"/>
      <c r="AC49" s="290" t="str">
        <f>IF(ISBLANK('Purchased Gases &amp; Refrigerants'!$J26),"",_xlfn.XLOOKUP('Purchased Gases &amp; Refrigerants'!$I26,Data!$AX$6:$AX$41,Data!$AY$6:$AY$41)*'Purchased Gases &amp; Refrigerants'!$J26*0.0004536)</f>
        <v/>
      </c>
      <c r="AD49" s="144"/>
      <c r="AE49" s="144"/>
      <c r="AF49" s="144"/>
      <c r="AG49" s="144"/>
      <c r="AH49" s="144"/>
      <c r="AI49" s="144"/>
      <c r="AJ49" s="144"/>
      <c r="AK49" s="144"/>
      <c r="AL49" s="144"/>
      <c r="AM49" s="144"/>
      <c r="AN49" s="144"/>
      <c r="AO49" s="290" t="str">
        <f>IF(ISBLANK('Stationary Combustion'!$C23),"",'Stationary Combustion'!B23)</f>
        <v/>
      </c>
      <c r="AP49" s="290" t="str">
        <f>IF(ISBLANK('Stationary Combustion'!$C23),"",'Stationary Combustion'!C23)</f>
        <v/>
      </c>
      <c r="AQ49" s="144"/>
      <c r="AR49" s="290" t="str">
        <f>IF(ISBLANK('Stationary Combustion'!E23),"",_xlfn.XLOOKUP('Stationary Combustion'!$D23,Data!$B$6:$B$33,Data!$A$6:$A$33)*'Stationary Combustion'!$E23*_xlfn.XLOOKUP('Stationary Combustion'!D23,Data!$B$6:$B$33,Data!$J$6:$J$33))</f>
        <v/>
      </c>
      <c r="AT49" s="290" t="str">
        <f>IF(ISBLANK('General Information'!F29),"",'General Information'!B29)</f>
        <v/>
      </c>
      <c r="AU49" s="290" t="str">
        <f>IF(ISBLANK('General Information'!F29),"",'General Information'!C29)</f>
        <v/>
      </c>
      <c r="AV49" s="144"/>
      <c r="AW49" s="290" t="str">
        <f>IF(ISBLANK('General Information'!F29),"",'General Information'!F29)</f>
        <v/>
      </c>
      <c r="AX49" s="182"/>
    </row>
    <row r="50" spans="1:50">
      <c r="A50" s="181"/>
      <c r="B50" s="289" t="str">
        <f>IF(ISBLANK('Stationary Combustion'!B24),"",'Stationary Combustion'!B24)</f>
        <v/>
      </c>
      <c r="C50" s="289" t="str">
        <f>IF(ISBLANK('Stationary Combustion'!C24),"",'Stationary Combustion'!C24)</f>
        <v/>
      </c>
      <c r="D50" s="289" t="str">
        <f>IF(ISBLANK('Stationary Combustion'!$E24),"",'Stationary Combustion'!$E24*_xlfn.XLOOKUP('Stationary Combustion'!$D24,Data!$B$6:$B$33,Data!F$6:F$33)/1000)</f>
        <v/>
      </c>
      <c r="E50" s="289" t="str">
        <f>IF(ISBLANK('Stationary Combustion'!$E24),"",'Stationary Combustion'!$E24*_xlfn.XLOOKUP('Stationary Combustion'!$D24,Data!$B$6:$B$33,Data!G$6:G$33)/1000000)</f>
        <v/>
      </c>
      <c r="F50" s="289" t="str">
        <f>IF(ISBLANK('Stationary Combustion'!$E24),"",'Stationary Combustion'!$E24*_xlfn.XLOOKUP('Stationary Combustion'!$D24,Data!$B$6:$B$33,Data!H$6:H$33)/1000000)</f>
        <v/>
      </c>
      <c r="G50" s="144"/>
      <c r="H50" s="289" t="str">
        <f>IF(ISBLANK('Stationary Combustion'!E24),"",Results!D50+25*Results!E50+298*Results!F50)</f>
        <v/>
      </c>
      <c r="I50" s="144"/>
      <c r="J50" s="289" t="str">
        <f>IF(ISBLANK('External Transportation'!B24),"",'External Transportation'!B24)</f>
        <v/>
      </c>
      <c r="K50" s="289" t="str">
        <f>IF(ISBLANK('External Transportation'!C24),"",'External Transportation'!C24)</f>
        <v/>
      </c>
      <c r="L50" s="289" t="str">
        <f>IF(ISBLANK('External Transportation'!$C24),"",_xlfn.XLOOKUP('External Transportation'!$D24,Data!$AH$7:$AH$12,Data!AI$7:AI$12)*'External Transportation'!$E24*'External Transportation'!$F24/1000)</f>
        <v/>
      </c>
      <c r="M50" s="289" t="str">
        <f>IF(ISBLANK('External Transportation'!$C24),"",_xlfn.XLOOKUP('External Transportation'!$D24,Data!$AH$7:$AH$12,Data!AJ$7:AJ$12)*'External Transportation'!$E24*'External Transportation'!$F24/1000000)</f>
        <v/>
      </c>
      <c r="N50" s="289" t="str">
        <f>IF(ISBLANK('External Transportation'!$C24),"",_xlfn.XLOOKUP('External Transportation'!$D24,Data!$AH$7:$AH$12,Data!AK$7:AK$12)*'External Transportation'!$E24*'External Transportation'!$F24/1000000)</f>
        <v/>
      </c>
      <c r="O50" s="144"/>
      <c r="P50" s="289" t="str">
        <f>IF(ISBLANK('External Transportation'!E24),"",Results!L50+25*Results!M50+298*Results!N50)</f>
        <v/>
      </c>
      <c r="Q50" s="144"/>
      <c r="R50" s="289" t="str">
        <f>IF(ISBLANK('Business Travel'!B25),"",'Business Travel'!B25)</f>
        <v/>
      </c>
      <c r="S50" s="289" t="str">
        <f>IF(ISBLANK('Business Travel'!C25),"",'Business Travel'!C25)</f>
        <v/>
      </c>
      <c r="T50" s="289" t="str">
        <f>IF(ISBLANK('Business Travel'!$E25),"",_xlfn.XLOOKUP('Business Travel'!$D25,Data!$T$6:$T$15,Data!U$6:U$15,"")*'Business Travel'!$E25/1000)</f>
        <v/>
      </c>
      <c r="U50" s="289" t="str">
        <f>IF(ISBLANK('Business Travel'!$E25),"",_xlfn.XLOOKUP('Business Travel'!$D25,Data!$T$6:$T$15,Data!V$6:V$15,"")*'Business Travel'!$E25/1000000)</f>
        <v/>
      </c>
      <c r="V50" s="289" t="str">
        <f>IF(ISBLANK('Business Travel'!$E25),"",_xlfn.XLOOKUP('Business Travel'!$D25,Data!$T$6:$T$15,Data!W$6:W$15,"")*'Business Travel'!$E25/1000000)</f>
        <v/>
      </c>
      <c r="W50" s="144"/>
      <c r="X50" s="289" t="str">
        <f>IF(ISBLANK('Business Travel'!E25),"",Results!T50+25*Results!U50+298*Results!V50)</f>
        <v/>
      </c>
      <c r="Y50" s="144"/>
      <c r="Z50" s="289" t="str">
        <f>IF(ISBLANK('Purchased Gases &amp; Refrigerants'!H27),"",'Purchased Gases &amp; Refrigerants'!G27)</f>
        <v/>
      </c>
      <c r="AA50" s="289" t="str">
        <f>IF(ISBLANK('Purchased Gases &amp; Refrigerants'!I27),"",'Purchased Gases &amp; Refrigerants'!H27)</f>
        <v/>
      </c>
      <c r="AB50" s="144"/>
      <c r="AC50" s="289" t="str">
        <f>IF(ISBLANK('Purchased Gases &amp; Refrigerants'!$J27),"",_xlfn.XLOOKUP('Purchased Gases &amp; Refrigerants'!$I27,Data!$AX$6:$AX$41,Data!$AY$6:$AY$41)*'Purchased Gases &amp; Refrigerants'!$J27*0.0004536)</f>
        <v/>
      </c>
      <c r="AD50" s="144"/>
      <c r="AE50" s="144"/>
      <c r="AF50" s="144"/>
      <c r="AG50" s="144"/>
      <c r="AH50" s="144"/>
      <c r="AI50" s="144"/>
      <c r="AJ50" s="144"/>
      <c r="AK50" s="144"/>
      <c r="AL50" s="144"/>
      <c r="AM50" s="144"/>
      <c r="AN50" s="144"/>
      <c r="AO50" s="289" t="str">
        <f>IF(ISBLANK('Stationary Combustion'!$C24),"",'Stationary Combustion'!B24)</f>
        <v/>
      </c>
      <c r="AP50" s="289" t="str">
        <f>IF(ISBLANK('Stationary Combustion'!$C24),"",'Stationary Combustion'!C24)</f>
        <v/>
      </c>
      <c r="AQ50" s="144"/>
      <c r="AR50" s="289" t="str">
        <f>IF(ISBLANK('Stationary Combustion'!E24),"",_xlfn.XLOOKUP('Stationary Combustion'!$D24,Data!$B$6:$B$33,Data!$A$6:$A$33)*'Stationary Combustion'!$E24*_xlfn.XLOOKUP('Stationary Combustion'!D24,Data!$B$6:$B$33,Data!$J$6:$J$33))</f>
        <v/>
      </c>
      <c r="AT50" s="289" t="str">
        <f>IF(ISBLANK('General Information'!F30),"",'General Information'!B30)</f>
        <v/>
      </c>
      <c r="AU50" s="289" t="str">
        <f>IF(ISBLANK('General Information'!F30),"",'General Information'!C30)</f>
        <v/>
      </c>
      <c r="AV50" s="144"/>
      <c r="AW50" s="289" t="str">
        <f>IF(ISBLANK('General Information'!F30),"",'General Information'!F30)</f>
        <v/>
      </c>
      <c r="AX50" s="182"/>
    </row>
    <row r="51" spans="1:50">
      <c r="A51" s="181"/>
      <c r="B51" s="290" t="str">
        <f>IF(ISBLANK('Stationary Combustion'!B25),"",'Stationary Combustion'!B25)</f>
        <v/>
      </c>
      <c r="C51" s="290" t="str">
        <f>IF(ISBLANK('Stationary Combustion'!C25),"",'Stationary Combustion'!C25)</f>
        <v/>
      </c>
      <c r="D51" s="290" t="str">
        <f>IF(ISBLANK('Stationary Combustion'!$E25),"",'Stationary Combustion'!$E25*_xlfn.XLOOKUP('Stationary Combustion'!$D25,Data!$B$6:$B$33,Data!F$6:F$33)/1000)</f>
        <v/>
      </c>
      <c r="E51" s="290" t="str">
        <f>IF(ISBLANK('Stationary Combustion'!$E25),"",'Stationary Combustion'!$E25*_xlfn.XLOOKUP('Stationary Combustion'!$D25,Data!$B$6:$B$33,Data!G$6:G$33)/1000000)</f>
        <v/>
      </c>
      <c r="F51" s="290" t="str">
        <f>IF(ISBLANK('Stationary Combustion'!$E25),"",'Stationary Combustion'!$E25*_xlfn.XLOOKUP('Stationary Combustion'!$D25,Data!$B$6:$B$33,Data!H$6:H$33)/1000000)</f>
        <v/>
      </c>
      <c r="G51" s="144"/>
      <c r="H51" s="290" t="str">
        <f>IF(ISBLANK('Stationary Combustion'!E25),"",Results!D51+25*Results!E51+298*Results!F51)</f>
        <v/>
      </c>
      <c r="I51" s="144"/>
      <c r="J51" s="290" t="str">
        <f>IF(ISBLANK('External Transportation'!B25),"",'External Transportation'!B25)</f>
        <v/>
      </c>
      <c r="K51" s="290" t="str">
        <f>IF(ISBLANK('External Transportation'!C25),"",'External Transportation'!C25)</f>
        <v/>
      </c>
      <c r="L51" s="290" t="str">
        <f>IF(ISBLANK('External Transportation'!$C25),"",_xlfn.XLOOKUP('External Transportation'!$D25,Data!$AH$7:$AH$12,Data!AI$7:AI$12)*'External Transportation'!$E25*'External Transportation'!$F25/1000)</f>
        <v/>
      </c>
      <c r="M51" s="290" t="str">
        <f>IF(ISBLANK('External Transportation'!$C25),"",_xlfn.XLOOKUP('External Transportation'!$D25,Data!$AH$7:$AH$12,Data!AJ$7:AJ$12)*'External Transportation'!$E25*'External Transportation'!$F25/1000000)</f>
        <v/>
      </c>
      <c r="N51" s="290" t="str">
        <f>IF(ISBLANK('External Transportation'!$C25),"",_xlfn.XLOOKUP('External Transportation'!$D25,Data!$AH$7:$AH$12,Data!AK$7:AK$12)*'External Transportation'!$E25*'External Transportation'!$F25/1000000)</f>
        <v/>
      </c>
      <c r="O51" s="144"/>
      <c r="P51" s="290" t="str">
        <f>IF(ISBLANK('External Transportation'!E25),"",Results!L51+25*Results!M51+298*Results!N51)</f>
        <v/>
      </c>
      <c r="Q51" s="144"/>
      <c r="R51" s="290" t="str">
        <f>IF(ISBLANK('Business Travel'!B26),"",'Business Travel'!B26)</f>
        <v/>
      </c>
      <c r="S51" s="290" t="str">
        <f>IF(ISBLANK('Business Travel'!C26),"",'Business Travel'!C26)</f>
        <v/>
      </c>
      <c r="T51" s="290" t="str">
        <f>IF(ISBLANK('Business Travel'!$E26),"",_xlfn.XLOOKUP('Business Travel'!$D26,Data!$T$6:$T$15,Data!U$6:U$15,"")*'Business Travel'!$E26/1000)</f>
        <v/>
      </c>
      <c r="U51" s="290" t="str">
        <f>IF(ISBLANK('Business Travel'!$E26),"",_xlfn.XLOOKUP('Business Travel'!$D26,Data!$T$6:$T$15,Data!V$6:V$15,"")*'Business Travel'!$E26/1000000)</f>
        <v/>
      </c>
      <c r="V51" s="290" t="str">
        <f>IF(ISBLANK('Business Travel'!$E26),"",_xlfn.XLOOKUP('Business Travel'!$D26,Data!$T$6:$T$15,Data!W$6:W$15,"")*'Business Travel'!$E26/1000000)</f>
        <v/>
      </c>
      <c r="W51" s="144"/>
      <c r="X51" s="290" t="str">
        <f>IF(ISBLANK('Business Travel'!E26),"",Results!T51+25*Results!U51+298*Results!V51)</f>
        <v/>
      </c>
      <c r="Y51" s="144"/>
      <c r="Z51" s="290" t="str">
        <f>IF(ISBLANK('Purchased Gases &amp; Refrigerants'!H28),"",'Purchased Gases &amp; Refrigerants'!G28)</f>
        <v/>
      </c>
      <c r="AA51" s="290" t="str">
        <f>IF(ISBLANK('Purchased Gases &amp; Refrigerants'!I28),"",'Purchased Gases &amp; Refrigerants'!H28)</f>
        <v/>
      </c>
      <c r="AB51" s="144"/>
      <c r="AC51" s="290" t="str">
        <f>IF(ISBLANK('Purchased Gases &amp; Refrigerants'!$J28),"",_xlfn.XLOOKUP('Purchased Gases &amp; Refrigerants'!$I28,Data!$AX$6:$AX$41,Data!$AY$6:$AY$41)*'Purchased Gases &amp; Refrigerants'!$J28*0.0004536)</f>
        <v/>
      </c>
      <c r="AD51" s="144"/>
      <c r="AE51" s="144"/>
      <c r="AF51" s="144"/>
      <c r="AG51" s="144"/>
      <c r="AH51" s="144"/>
      <c r="AI51" s="144"/>
      <c r="AJ51" s="144"/>
      <c r="AK51" s="144"/>
      <c r="AL51" s="144"/>
      <c r="AM51" s="144"/>
      <c r="AN51" s="144"/>
      <c r="AO51" s="290" t="str">
        <f>IF(ISBLANK('Stationary Combustion'!$C25),"",'Stationary Combustion'!B25)</f>
        <v/>
      </c>
      <c r="AP51" s="290" t="str">
        <f>IF(ISBLANK('Stationary Combustion'!$C25),"",'Stationary Combustion'!C25)</f>
        <v/>
      </c>
      <c r="AQ51" s="144"/>
      <c r="AR51" s="290" t="str">
        <f>IF(ISBLANK('Stationary Combustion'!E25),"",_xlfn.XLOOKUP('Stationary Combustion'!$D25,Data!$B$6:$B$33,Data!$A$6:$A$33)*'Stationary Combustion'!$E25*_xlfn.XLOOKUP('Stationary Combustion'!D25,Data!$B$6:$B$33,Data!$J$6:$J$33))</f>
        <v/>
      </c>
      <c r="AT51" s="290" t="str">
        <f>IF(ISBLANK('General Information'!F31),"",'General Information'!B31)</f>
        <v/>
      </c>
      <c r="AU51" s="290" t="str">
        <f>IF(ISBLANK('General Information'!F31),"",'General Information'!C31)</f>
        <v/>
      </c>
      <c r="AV51" s="144"/>
      <c r="AW51" s="290" t="str">
        <f>IF(ISBLANK('General Information'!F31),"",'General Information'!F31)</f>
        <v/>
      </c>
      <c r="AX51" s="182"/>
    </row>
    <row r="52" spans="1:50">
      <c r="A52" s="181"/>
      <c r="B52" s="289" t="str">
        <f>IF(ISBLANK('Stationary Combustion'!B26),"",'Stationary Combustion'!B26)</f>
        <v/>
      </c>
      <c r="C52" s="289" t="str">
        <f>IF(ISBLANK('Stationary Combustion'!C26),"",'Stationary Combustion'!C26)</f>
        <v/>
      </c>
      <c r="D52" s="289" t="str">
        <f>IF(ISBLANK('Stationary Combustion'!$E26),"",'Stationary Combustion'!$E26*_xlfn.XLOOKUP('Stationary Combustion'!$D26,Data!$B$6:$B$33,Data!F$6:F$33)/1000)</f>
        <v/>
      </c>
      <c r="E52" s="289" t="str">
        <f>IF(ISBLANK('Stationary Combustion'!$E26),"",'Stationary Combustion'!$E26*_xlfn.XLOOKUP('Stationary Combustion'!$D26,Data!$B$6:$B$33,Data!G$6:G$33)/1000000)</f>
        <v/>
      </c>
      <c r="F52" s="289" t="str">
        <f>IF(ISBLANK('Stationary Combustion'!$E26),"",'Stationary Combustion'!$E26*_xlfn.XLOOKUP('Stationary Combustion'!$D26,Data!$B$6:$B$33,Data!H$6:H$33)/1000000)</f>
        <v/>
      </c>
      <c r="G52" s="144"/>
      <c r="H52" s="289" t="str">
        <f>IF(ISBLANK('Stationary Combustion'!E26),"",Results!D52+25*Results!E52+298*Results!F52)</f>
        <v/>
      </c>
      <c r="I52" s="144"/>
      <c r="J52" s="289" t="str">
        <f>IF(ISBLANK('External Transportation'!B26),"",'External Transportation'!B26)</f>
        <v/>
      </c>
      <c r="K52" s="289" t="str">
        <f>IF(ISBLANK('External Transportation'!C26),"",'External Transportation'!C26)</f>
        <v/>
      </c>
      <c r="L52" s="289" t="str">
        <f>IF(ISBLANK('External Transportation'!$C26),"",_xlfn.XLOOKUP('External Transportation'!$D26,Data!$AH$7:$AH$12,Data!AI$7:AI$12)*'External Transportation'!$E26*'External Transportation'!$F26/1000)</f>
        <v/>
      </c>
      <c r="M52" s="289" t="str">
        <f>IF(ISBLANK('External Transportation'!$C26),"",_xlfn.XLOOKUP('External Transportation'!$D26,Data!$AH$7:$AH$12,Data!AJ$7:AJ$12)*'External Transportation'!$E26*'External Transportation'!$F26/1000000)</f>
        <v/>
      </c>
      <c r="N52" s="289" t="str">
        <f>IF(ISBLANK('External Transportation'!$C26),"",_xlfn.XLOOKUP('External Transportation'!$D26,Data!$AH$7:$AH$12,Data!AK$7:AK$12)*'External Transportation'!$E26*'External Transportation'!$F26/1000000)</f>
        <v/>
      </c>
      <c r="O52" s="144"/>
      <c r="P52" s="289" t="str">
        <f>IF(ISBLANK('External Transportation'!E26),"",Results!L52+25*Results!M52+298*Results!N52)</f>
        <v/>
      </c>
      <c r="Q52" s="144"/>
      <c r="R52" s="289" t="str">
        <f>IF(ISBLANK('Business Travel'!B27),"",'Business Travel'!B27)</f>
        <v/>
      </c>
      <c r="S52" s="289" t="str">
        <f>IF(ISBLANK('Business Travel'!C27),"",'Business Travel'!C27)</f>
        <v/>
      </c>
      <c r="T52" s="289" t="str">
        <f>IF(ISBLANK('Business Travel'!$E27),"",_xlfn.XLOOKUP('Business Travel'!$D27,Data!$T$6:$T$15,Data!U$6:U$15,"")*'Business Travel'!$E27/1000)</f>
        <v/>
      </c>
      <c r="U52" s="289" t="str">
        <f>IF(ISBLANK('Business Travel'!$E27),"",_xlfn.XLOOKUP('Business Travel'!$D27,Data!$T$6:$T$15,Data!V$6:V$15,"")*'Business Travel'!$E27/1000000)</f>
        <v/>
      </c>
      <c r="V52" s="289" t="str">
        <f>IF(ISBLANK('Business Travel'!$E27),"",_xlfn.XLOOKUP('Business Travel'!$D27,Data!$T$6:$T$15,Data!W$6:W$15,"")*'Business Travel'!$E27/1000000)</f>
        <v/>
      </c>
      <c r="W52" s="144"/>
      <c r="X52" s="289" t="str">
        <f>IF(ISBLANK('Business Travel'!E27),"",Results!T52+25*Results!U52+298*Results!V52)</f>
        <v/>
      </c>
      <c r="Y52" s="144"/>
      <c r="Z52" s="289" t="str">
        <f>IF(ISBLANK('Purchased Gases &amp; Refrigerants'!H29),"",'Purchased Gases &amp; Refrigerants'!G29)</f>
        <v/>
      </c>
      <c r="AA52" s="289" t="str">
        <f>IF(ISBLANK('Purchased Gases &amp; Refrigerants'!I29),"",'Purchased Gases &amp; Refrigerants'!H29)</f>
        <v/>
      </c>
      <c r="AB52" s="144"/>
      <c r="AC52" s="289" t="str">
        <f>IF(ISBLANK('Purchased Gases &amp; Refrigerants'!$J29),"",_xlfn.XLOOKUP('Purchased Gases &amp; Refrigerants'!$I29,Data!$AX$6:$AX$41,Data!$AY$6:$AY$41)*'Purchased Gases &amp; Refrigerants'!$J29*0.0004536)</f>
        <v/>
      </c>
      <c r="AD52" s="144"/>
      <c r="AE52" s="144"/>
      <c r="AF52" s="144"/>
      <c r="AG52" s="144"/>
      <c r="AH52" s="144"/>
      <c r="AI52" s="144"/>
      <c r="AJ52" s="144"/>
      <c r="AK52" s="144"/>
      <c r="AL52" s="144"/>
      <c r="AM52" s="144"/>
      <c r="AN52" s="144"/>
      <c r="AO52" s="289" t="str">
        <f>IF(ISBLANK('Stationary Combustion'!$C26),"",'Stationary Combustion'!B26)</f>
        <v/>
      </c>
      <c r="AP52" s="289" t="str">
        <f>IF(ISBLANK('Stationary Combustion'!$C26),"",'Stationary Combustion'!C26)</f>
        <v/>
      </c>
      <c r="AQ52" s="144"/>
      <c r="AR52" s="289" t="str">
        <f>IF(ISBLANK('Stationary Combustion'!E26),"",_xlfn.XLOOKUP('Stationary Combustion'!$D26,Data!$B$6:$B$33,Data!$A$6:$A$33)*'Stationary Combustion'!$E26*_xlfn.XLOOKUP('Stationary Combustion'!D26,Data!$B$6:$B$33,Data!$J$6:$J$33))</f>
        <v/>
      </c>
      <c r="AT52" s="289" t="str">
        <f>IF(ISBLANK('General Information'!F32),"",'General Information'!B32)</f>
        <v/>
      </c>
      <c r="AU52" s="289" t="str">
        <f>IF(ISBLANK('General Information'!F32),"",'General Information'!C32)</f>
        <v/>
      </c>
      <c r="AV52" s="144"/>
      <c r="AW52" s="289" t="str">
        <f>IF(ISBLANK('General Information'!F32),"",'General Information'!F32)</f>
        <v/>
      </c>
      <c r="AX52" s="182"/>
    </row>
    <row r="53" spans="1:50">
      <c r="A53" s="181"/>
      <c r="B53" s="290" t="str">
        <f>IF(ISBLANK('Stationary Combustion'!B27),"",'Stationary Combustion'!B27)</f>
        <v/>
      </c>
      <c r="C53" s="290" t="str">
        <f>IF(ISBLANK('Stationary Combustion'!C27),"",'Stationary Combustion'!C27)</f>
        <v/>
      </c>
      <c r="D53" s="290" t="str">
        <f>IF(ISBLANK('Stationary Combustion'!$E27),"",'Stationary Combustion'!$E27*_xlfn.XLOOKUP('Stationary Combustion'!$D27,Data!$B$6:$B$33,Data!F$6:F$33)/1000)</f>
        <v/>
      </c>
      <c r="E53" s="290" t="str">
        <f>IF(ISBLANK('Stationary Combustion'!$E27),"",'Stationary Combustion'!$E27*_xlfn.XLOOKUP('Stationary Combustion'!$D27,Data!$B$6:$B$33,Data!G$6:G$33)/1000000)</f>
        <v/>
      </c>
      <c r="F53" s="290" t="str">
        <f>IF(ISBLANK('Stationary Combustion'!$E27),"",'Stationary Combustion'!$E27*_xlfn.XLOOKUP('Stationary Combustion'!$D27,Data!$B$6:$B$33,Data!H$6:H$33)/1000000)</f>
        <v/>
      </c>
      <c r="G53" s="144"/>
      <c r="H53" s="290" t="str">
        <f>IF(ISBLANK('Stationary Combustion'!E27),"",Results!D53+25*Results!E53+298*Results!F53)</f>
        <v/>
      </c>
      <c r="I53" s="144"/>
      <c r="J53" s="290" t="str">
        <f>IF(ISBLANK('External Transportation'!B27),"",'External Transportation'!B27)</f>
        <v/>
      </c>
      <c r="K53" s="290" t="str">
        <f>IF(ISBLANK('External Transportation'!C27),"",'External Transportation'!C27)</f>
        <v/>
      </c>
      <c r="L53" s="290" t="str">
        <f>IF(ISBLANK('External Transportation'!$C27),"",_xlfn.XLOOKUP('External Transportation'!$D27,Data!$AH$7:$AH$12,Data!AI$7:AI$12)*'External Transportation'!$E27*'External Transportation'!$F27/1000)</f>
        <v/>
      </c>
      <c r="M53" s="290" t="str">
        <f>IF(ISBLANK('External Transportation'!$C27),"",_xlfn.XLOOKUP('External Transportation'!$D27,Data!$AH$7:$AH$12,Data!AJ$7:AJ$12)*'External Transportation'!$E27*'External Transportation'!$F27/1000000)</f>
        <v/>
      </c>
      <c r="N53" s="290" t="str">
        <f>IF(ISBLANK('External Transportation'!$C27),"",_xlfn.XLOOKUP('External Transportation'!$D27,Data!$AH$7:$AH$12,Data!AK$7:AK$12)*'External Transportation'!$E27*'External Transportation'!$F27/1000000)</f>
        <v/>
      </c>
      <c r="O53" s="144"/>
      <c r="P53" s="290" t="str">
        <f>IF(ISBLANK('External Transportation'!E27),"",Results!L53+25*Results!M53+298*Results!N53)</f>
        <v/>
      </c>
      <c r="Q53" s="144"/>
      <c r="R53" s="290" t="str">
        <f>IF(ISBLANK('Business Travel'!B28),"",'Business Travel'!B28)</f>
        <v/>
      </c>
      <c r="S53" s="290" t="str">
        <f>IF(ISBLANK('Business Travel'!C28),"",'Business Travel'!C28)</f>
        <v/>
      </c>
      <c r="T53" s="290" t="str">
        <f>IF(ISBLANK('Business Travel'!$E28),"",_xlfn.XLOOKUP('Business Travel'!$D28,Data!$T$6:$T$15,Data!U$6:U$15,"")*'Business Travel'!$E28/1000)</f>
        <v/>
      </c>
      <c r="U53" s="290" t="str">
        <f>IF(ISBLANK('Business Travel'!$E28),"",_xlfn.XLOOKUP('Business Travel'!$D28,Data!$T$6:$T$15,Data!V$6:V$15,"")*'Business Travel'!$E28/1000000)</f>
        <v/>
      </c>
      <c r="V53" s="290" t="str">
        <f>IF(ISBLANK('Business Travel'!$E28),"",_xlfn.XLOOKUP('Business Travel'!$D28,Data!$T$6:$T$15,Data!W$6:W$15,"")*'Business Travel'!$E28/1000000)</f>
        <v/>
      </c>
      <c r="W53" s="144"/>
      <c r="X53" s="290" t="str">
        <f>IF(ISBLANK('Business Travel'!E28),"",Results!T53+25*Results!U53+298*Results!V53)</f>
        <v/>
      </c>
      <c r="Y53" s="144"/>
      <c r="Z53" s="290" t="str">
        <f>IF(ISBLANK('Purchased Gases &amp; Refrigerants'!H30),"",'Purchased Gases &amp; Refrigerants'!G30)</f>
        <v/>
      </c>
      <c r="AA53" s="290" t="str">
        <f>IF(ISBLANK('Purchased Gases &amp; Refrigerants'!I30),"",'Purchased Gases &amp; Refrigerants'!H30)</f>
        <v/>
      </c>
      <c r="AB53" s="144"/>
      <c r="AC53" s="290" t="str">
        <f>IF(ISBLANK('Purchased Gases &amp; Refrigerants'!$J30),"",_xlfn.XLOOKUP('Purchased Gases &amp; Refrigerants'!$I30,Data!$AX$6:$AX$41,Data!$AY$6:$AY$41)*'Purchased Gases &amp; Refrigerants'!$J30*0.0004536)</f>
        <v/>
      </c>
      <c r="AD53" s="144"/>
      <c r="AE53" s="144"/>
      <c r="AF53" s="144"/>
      <c r="AG53" s="144"/>
      <c r="AH53" s="144"/>
      <c r="AI53" s="144"/>
      <c r="AJ53" s="144"/>
      <c r="AK53" s="144"/>
      <c r="AL53" s="144"/>
      <c r="AM53" s="144"/>
      <c r="AN53" s="144"/>
      <c r="AO53" s="290" t="str">
        <f>IF(ISBLANK('Stationary Combustion'!$C27),"",'Stationary Combustion'!B27)</f>
        <v/>
      </c>
      <c r="AP53" s="290" t="str">
        <f>IF(ISBLANK('Stationary Combustion'!$C27),"",'Stationary Combustion'!C27)</f>
        <v/>
      </c>
      <c r="AQ53" s="144"/>
      <c r="AR53" s="290" t="str">
        <f>IF(ISBLANK('Stationary Combustion'!E27),"",_xlfn.XLOOKUP('Stationary Combustion'!$D27,Data!$B$6:$B$33,Data!$A$6:$A$33)*'Stationary Combustion'!$E27*_xlfn.XLOOKUP('Stationary Combustion'!D27,Data!$B$6:$B$33,Data!$J$6:$J$33))</f>
        <v/>
      </c>
      <c r="AT53" s="290" t="str">
        <f>IF(ISBLANK('General Information'!F33),"",'General Information'!B33)</f>
        <v/>
      </c>
      <c r="AU53" s="290" t="str">
        <f>IF(ISBLANK('General Information'!F33),"",'General Information'!C33)</f>
        <v/>
      </c>
      <c r="AV53" s="144"/>
      <c r="AW53" s="290" t="str">
        <f>IF(ISBLANK('General Information'!F33),"",'General Information'!F33)</f>
        <v/>
      </c>
      <c r="AX53" s="182"/>
    </row>
    <row r="54" spans="1:50">
      <c r="A54" s="181"/>
      <c r="B54" s="289" t="str">
        <f>IF(ISBLANK('Stationary Combustion'!B28),"",'Stationary Combustion'!B28)</f>
        <v/>
      </c>
      <c r="C54" s="289" t="str">
        <f>IF(ISBLANK('Stationary Combustion'!C28),"",'Stationary Combustion'!C28)</f>
        <v/>
      </c>
      <c r="D54" s="289" t="str">
        <f>IF(ISBLANK('Stationary Combustion'!$E28),"",'Stationary Combustion'!$E28*_xlfn.XLOOKUP('Stationary Combustion'!$D28,Data!$B$6:$B$33,Data!F$6:F$33)/1000)</f>
        <v/>
      </c>
      <c r="E54" s="289" t="str">
        <f>IF(ISBLANK('Stationary Combustion'!$E28),"",'Stationary Combustion'!$E28*_xlfn.XLOOKUP('Stationary Combustion'!$D28,Data!$B$6:$B$33,Data!G$6:G$33)/1000000)</f>
        <v/>
      </c>
      <c r="F54" s="289" t="str">
        <f>IF(ISBLANK('Stationary Combustion'!$E28),"",'Stationary Combustion'!$E28*_xlfn.XLOOKUP('Stationary Combustion'!$D28,Data!$B$6:$B$33,Data!H$6:H$33)/1000000)</f>
        <v/>
      </c>
      <c r="G54" s="144"/>
      <c r="H54" s="289" t="str">
        <f>IF(ISBLANK('Stationary Combustion'!E28),"",Results!D54+25*Results!E54+298*Results!F54)</f>
        <v/>
      </c>
      <c r="I54" s="144"/>
      <c r="J54" s="289" t="str">
        <f>IF(ISBLANK('External Transportation'!B28),"",'External Transportation'!B28)</f>
        <v/>
      </c>
      <c r="K54" s="289" t="str">
        <f>IF(ISBLANK('External Transportation'!C28),"",'External Transportation'!C28)</f>
        <v/>
      </c>
      <c r="L54" s="289" t="str">
        <f>IF(ISBLANK('External Transportation'!$C28),"",_xlfn.XLOOKUP('External Transportation'!$D28,Data!$AH$7:$AH$12,Data!AI$7:AI$12)*'External Transportation'!$E28*'External Transportation'!$F28/1000)</f>
        <v/>
      </c>
      <c r="M54" s="289" t="str">
        <f>IF(ISBLANK('External Transportation'!$C28),"",_xlfn.XLOOKUP('External Transportation'!$D28,Data!$AH$7:$AH$12,Data!AJ$7:AJ$12)*'External Transportation'!$E28*'External Transportation'!$F28/1000000)</f>
        <v/>
      </c>
      <c r="N54" s="289" t="str">
        <f>IF(ISBLANK('External Transportation'!$C28),"",_xlfn.XLOOKUP('External Transportation'!$D28,Data!$AH$7:$AH$12,Data!AK$7:AK$12)*'External Transportation'!$E28*'External Transportation'!$F28/1000000)</f>
        <v/>
      </c>
      <c r="O54" s="144"/>
      <c r="P54" s="289" t="str">
        <f>IF(ISBLANK('External Transportation'!E28),"",Results!L54+25*Results!M54+298*Results!N54)</f>
        <v/>
      </c>
      <c r="Q54" s="144"/>
      <c r="R54" s="289" t="str">
        <f>IF(ISBLANK('Business Travel'!B29),"",'Business Travel'!B29)</f>
        <v/>
      </c>
      <c r="S54" s="289" t="str">
        <f>IF(ISBLANK('Business Travel'!C29),"",'Business Travel'!C29)</f>
        <v/>
      </c>
      <c r="T54" s="289" t="str">
        <f>IF(ISBLANK('Business Travel'!$E29),"",_xlfn.XLOOKUP('Business Travel'!$D29,Data!$T$6:$T$15,Data!U$6:U$15,"")*'Business Travel'!$E29/1000)</f>
        <v/>
      </c>
      <c r="U54" s="289" t="str">
        <f>IF(ISBLANK('Business Travel'!$E29),"",_xlfn.XLOOKUP('Business Travel'!$D29,Data!$T$6:$T$15,Data!V$6:V$15,"")*'Business Travel'!$E29/1000000)</f>
        <v/>
      </c>
      <c r="V54" s="289" t="str">
        <f>IF(ISBLANK('Business Travel'!$E29),"",_xlfn.XLOOKUP('Business Travel'!$D29,Data!$T$6:$T$15,Data!W$6:W$15,"")*'Business Travel'!$E29/1000000)</f>
        <v/>
      </c>
      <c r="W54" s="144"/>
      <c r="X54" s="289" t="str">
        <f>IF(ISBLANK('Business Travel'!E29),"",Results!T54+25*Results!U54+298*Results!V54)</f>
        <v/>
      </c>
      <c r="Y54" s="144"/>
      <c r="Z54" s="289" t="str">
        <f>IF(ISBLANK('Purchased Gases &amp; Refrigerants'!H31),"",'Purchased Gases &amp; Refrigerants'!G31)</f>
        <v/>
      </c>
      <c r="AA54" s="289" t="str">
        <f>IF(ISBLANK('Purchased Gases &amp; Refrigerants'!I31),"",'Purchased Gases &amp; Refrigerants'!H31)</f>
        <v/>
      </c>
      <c r="AB54" s="144"/>
      <c r="AC54" s="289" t="str">
        <f>IF(ISBLANK('Purchased Gases &amp; Refrigerants'!$J31),"",_xlfn.XLOOKUP('Purchased Gases &amp; Refrigerants'!$I31,Data!$AX$6:$AX$41,Data!$AY$6:$AY$41)*'Purchased Gases &amp; Refrigerants'!$J31*0.0004536)</f>
        <v/>
      </c>
      <c r="AD54" s="144"/>
      <c r="AE54" s="144"/>
      <c r="AF54" s="144"/>
      <c r="AG54" s="144"/>
      <c r="AH54" s="144"/>
      <c r="AI54" s="144"/>
      <c r="AJ54" s="144"/>
      <c r="AK54" s="144"/>
      <c r="AL54" s="144"/>
      <c r="AM54" s="144"/>
      <c r="AN54" s="144"/>
      <c r="AO54" s="289" t="str">
        <f>IF(ISBLANK('Stationary Combustion'!$C28),"",'Stationary Combustion'!B28)</f>
        <v/>
      </c>
      <c r="AP54" s="289" t="str">
        <f>IF(ISBLANK('Stationary Combustion'!$C28),"",'Stationary Combustion'!C28)</f>
        <v/>
      </c>
      <c r="AQ54" s="144"/>
      <c r="AR54" s="289" t="str">
        <f>IF(ISBLANK('Stationary Combustion'!E28),"",_xlfn.XLOOKUP('Stationary Combustion'!$D28,Data!$B$6:$B$33,Data!$A$6:$A$33)*'Stationary Combustion'!$E28*_xlfn.XLOOKUP('Stationary Combustion'!D28,Data!$B$6:$B$33,Data!$J$6:$J$33))</f>
        <v/>
      </c>
      <c r="AT54" s="289" t="str">
        <f>IF(ISBLANK('General Information'!F34),"",'General Information'!B34)</f>
        <v/>
      </c>
      <c r="AU54" s="289" t="str">
        <f>IF(ISBLANK('General Information'!F34),"",'General Information'!C34)</f>
        <v/>
      </c>
      <c r="AV54" s="144"/>
      <c r="AW54" s="289" t="str">
        <f>IF(ISBLANK('General Information'!F34),"",'General Information'!F34)</f>
        <v/>
      </c>
      <c r="AX54" s="182"/>
    </row>
    <row r="55" spans="1:50">
      <c r="A55" s="181"/>
      <c r="B55" s="290" t="str">
        <f>IF(ISBLANK('Stationary Combustion'!B29),"",'Stationary Combustion'!B29)</f>
        <v/>
      </c>
      <c r="C55" s="290" t="str">
        <f>IF(ISBLANK('Stationary Combustion'!C29),"",'Stationary Combustion'!C29)</f>
        <v/>
      </c>
      <c r="D55" s="290" t="str">
        <f>IF(ISBLANK('Stationary Combustion'!$E29),"",'Stationary Combustion'!$E29*_xlfn.XLOOKUP('Stationary Combustion'!$D29,Data!$B$6:$B$33,Data!F$6:F$33)/1000)</f>
        <v/>
      </c>
      <c r="E55" s="290" t="str">
        <f>IF(ISBLANK('Stationary Combustion'!$E29),"",'Stationary Combustion'!$E29*_xlfn.XLOOKUP('Stationary Combustion'!$D29,Data!$B$6:$B$33,Data!G$6:G$33)/1000000)</f>
        <v/>
      </c>
      <c r="F55" s="290" t="str">
        <f>IF(ISBLANK('Stationary Combustion'!$E29),"",'Stationary Combustion'!$E29*_xlfn.XLOOKUP('Stationary Combustion'!$D29,Data!$B$6:$B$33,Data!H$6:H$33)/1000000)</f>
        <v/>
      </c>
      <c r="G55" s="144"/>
      <c r="H55" s="290" t="str">
        <f>IF(ISBLANK('Stationary Combustion'!E29),"",Results!D55+25*Results!E55+298*Results!F55)</f>
        <v/>
      </c>
      <c r="I55" s="144"/>
      <c r="J55" s="290" t="str">
        <f>IF(ISBLANK('External Transportation'!B29),"",'External Transportation'!B29)</f>
        <v/>
      </c>
      <c r="K55" s="290" t="str">
        <f>IF(ISBLANK('External Transportation'!C29),"",'External Transportation'!C29)</f>
        <v/>
      </c>
      <c r="L55" s="290" t="str">
        <f>IF(ISBLANK('External Transportation'!$C29),"",_xlfn.XLOOKUP('External Transportation'!$D29,Data!$AH$7:$AH$12,Data!AI$7:AI$12)*'External Transportation'!$E29*'External Transportation'!$F29/1000)</f>
        <v/>
      </c>
      <c r="M55" s="290" t="str">
        <f>IF(ISBLANK('External Transportation'!$C29),"",_xlfn.XLOOKUP('External Transportation'!$D29,Data!$AH$7:$AH$12,Data!AJ$7:AJ$12)*'External Transportation'!$E29*'External Transportation'!$F29/1000000)</f>
        <v/>
      </c>
      <c r="N55" s="290" t="str">
        <f>IF(ISBLANK('External Transportation'!$C29),"",_xlfn.XLOOKUP('External Transportation'!$D29,Data!$AH$7:$AH$12,Data!AK$7:AK$12)*'External Transportation'!$E29*'External Transportation'!$F29/1000000)</f>
        <v/>
      </c>
      <c r="O55" s="144"/>
      <c r="P55" s="290" t="str">
        <f>IF(ISBLANK('External Transportation'!E29),"",Results!L55+25*Results!M55+298*Results!N55)</f>
        <v/>
      </c>
      <c r="Q55" s="144"/>
      <c r="R55" s="290" t="str">
        <f>IF(ISBLANK('Business Travel'!B30),"",'Business Travel'!B30)</f>
        <v/>
      </c>
      <c r="S55" s="290" t="str">
        <f>IF(ISBLANK('Business Travel'!C30),"",'Business Travel'!C30)</f>
        <v/>
      </c>
      <c r="T55" s="290" t="str">
        <f>IF(ISBLANK('Business Travel'!$E30),"",_xlfn.XLOOKUP('Business Travel'!$D30,Data!$T$6:$T$15,Data!U$6:U$15,"")*'Business Travel'!$E30/1000)</f>
        <v/>
      </c>
      <c r="U55" s="290" t="str">
        <f>IF(ISBLANK('Business Travel'!$E30),"",_xlfn.XLOOKUP('Business Travel'!$D30,Data!$T$6:$T$15,Data!V$6:V$15,"")*'Business Travel'!$E30/1000000)</f>
        <v/>
      </c>
      <c r="V55" s="290" t="str">
        <f>IF(ISBLANK('Business Travel'!$E30),"",_xlfn.XLOOKUP('Business Travel'!$D30,Data!$T$6:$T$15,Data!W$6:W$15,"")*'Business Travel'!$E30/1000000)</f>
        <v/>
      </c>
      <c r="W55" s="144"/>
      <c r="X55" s="290" t="str">
        <f>IF(ISBLANK('Business Travel'!E30),"",Results!T55+25*Results!U55+298*Results!V55)</f>
        <v/>
      </c>
      <c r="Y55" s="144"/>
      <c r="Z55" s="290" t="str">
        <f>IF(ISBLANK('Purchased Gases &amp; Refrigerants'!H32),"",'Purchased Gases &amp; Refrigerants'!G32)</f>
        <v/>
      </c>
      <c r="AA55" s="290" t="str">
        <f>IF(ISBLANK('Purchased Gases &amp; Refrigerants'!I32),"",'Purchased Gases &amp; Refrigerants'!H32)</f>
        <v/>
      </c>
      <c r="AB55" s="144"/>
      <c r="AC55" s="290" t="str">
        <f>IF(ISBLANK('Purchased Gases &amp; Refrigerants'!$J32),"",_xlfn.XLOOKUP('Purchased Gases &amp; Refrigerants'!$I32,Data!$AX$6:$AX$41,Data!$AY$6:$AY$41)*'Purchased Gases &amp; Refrigerants'!$J32*0.0004536)</f>
        <v/>
      </c>
      <c r="AD55" s="144"/>
      <c r="AE55" s="144"/>
      <c r="AF55" s="144"/>
      <c r="AG55" s="144"/>
      <c r="AH55" s="144"/>
      <c r="AI55" s="144"/>
      <c r="AJ55" s="144"/>
      <c r="AK55" s="144"/>
      <c r="AL55" s="144"/>
      <c r="AM55" s="144"/>
      <c r="AN55" s="144"/>
      <c r="AO55" s="290" t="str">
        <f>IF(ISBLANK('Stationary Combustion'!$C29),"",'Stationary Combustion'!B29)</f>
        <v/>
      </c>
      <c r="AP55" s="290" t="str">
        <f>IF(ISBLANK('Stationary Combustion'!$C29),"",'Stationary Combustion'!C29)</f>
        <v/>
      </c>
      <c r="AQ55" s="144"/>
      <c r="AR55" s="290" t="str">
        <f>IF(ISBLANK('Stationary Combustion'!E29),"",_xlfn.XLOOKUP('Stationary Combustion'!$D29,Data!$B$6:$B$33,Data!$A$6:$A$33)*'Stationary Combustion'!$E29*_xlfn.XLOOKUP('Stationary Combustion'!D29,Data!$B$6:$B$33,Data!$J$6:$J$33))</f>
        <v/>
      </c>
      <c r="AT55" s="290" t="str">
        <f>IF(ISBLANK('General Information'!F35),"",'General Information'!B35)</f>
        <v/>
      </c>
      <c r="AU55" s="290" t="str">
        <f>IF(ISBLANK('General Information'!F35),"",'General Information'!C35)</f>
        <v/>
      </c>
      <c r="AV55" s="144"/>
      <c r="AW55" s="290" t="str">
        <f>IF(ISBLANK('General Information'!F35),"",'General Information'!F35)</f>
        <v/>
      </c>
      <c r="AX55" s="182"/>
    </row>
    <row r="56" spans="1:50">
      <c r="A56" s="181"/>
      <c r="B56" s="289" t="str">
        <f>IF(ISBLANK('Stationary Combustion'!B30),"",'Stationary Combustion'!B30)</f>
        <v/>
      </c>
      <c r="C56" s="289" t="str">
        <f>IF(ISBLANK('Stationary Combustion'!C30),"",'Stationary Combustion'!C30)</f>
        <v/>
      </c>
      <c r="D56" s="289" t="str">
        <f>IF(ISBLANK('Stationary Combustion'!$E30),"",'Stationary Combustion'!$E30*_xlfn.XLOOKUP('Stationary Combustion'!$D30,Data!$B$6:$B$33,Data!F$6:F$33)/1000)</f>
        <v/>
      </c>
      <c r="E56" s="289" t="str">
        <f>IF(ISBLANK('Stationary Combustion'!$E30),"",'Stationary Combustion'!$E30*_xlfn.XLOOKUP('Stationary Combustion'!$D30,Data!$B$6:$B$33,Data!G$6:G$33)/1000000)</f>
        <v/>
      </c>
      <c r="F56" s="289" t="str">
        <f>IF(ISBLANK('Stationary Combustion'!$E30),"",'Stationary Combustion'!$E30*_xlfn.XLOOKUP('Stationary Combustion'!$D30,Data!$B$6:$B$33,Data!H$6:H$33)/1000000)</f>
        <v/>
      </c>
      <c r="G56" s="144"/>
      <c r="H56" s="289" t="str">
        <f>IF(ISBLANK('Stationary Combustion'!E30),"",Results!D56+25*Results!E56+298*Results!F56)</f>
        <v/>
      </c>
      <c r="I56" s="144"/>
      <c r="J56" s="289" t="str">
        <f>IF(ISBLANK('External Transportation'!B30),"",'External Transportation'!B30)</f>
        <v/>
      </c>
      <c r="K56" s="289" t="str">
        <f>IF(ISBLANK('External Transportation'!C30),"",'External Transportation'!C30)</f>
        <v/>
      </c>
      <c r="L56" s="289" t="str">
        <f>IF(ISBLANK('External Transportation'!$C30),"",_xlfn.XLOOKUP('External Transportation'!$D30,Data!$AH$7:$AH$12,Data!AI$7:AI$12)*'External Transportation'!$E30*'External Transportation'!$F30/1000)</f>
        <v/>
      </c>
      <c r="M56" s="289" t="str">
        <f>IF(ISBLANK('External Transportation'!$C30),"",_xlfn.XLOOKUP('External Transportation'!$D30,Data!$AH$7:$AH$12,Data!AJ$7:AJ$12)*'External Transportation'!$E30*'External Transportation'!$F30/1000000)</f>
        <v/>
      </c>
      <c r="N56" s="289" t="str">
        <f>IF(ISBLANK('External Transportation'!$C30),"",_xlfn.XLOOKUP('External Transportation'!$D30,Data!$AH$7:$AH$12,Data!AK$7:AK$12)*'External Transportation'!$E30*'External Transportation'!$F30/1000000)</f>
        <v/>
      </c>
      <c r="O56" s="144"/>
      <c r="P56" s="289" t="str">
        <f>IF(ISBLANK('External Transportation'!E30),"",Results!L56+25*Results!M56+298*Results!N56)</f>
        <v/>
      </c>
      <c r="Q56" s="144"/>
      <c r="R56" s="289" t="str">
        <f>IF(ISBLANK('Business Travel'!B31),"",'Business Travel'!B31)</f>
        <v/>
      </c>
      <c r="S56" s="289" t="str">
        <f>IF(ISBLANK('Business Travel'!C31),"",'Business Travel'!C31)</f>
        <v/>
      </c>
      <c r="T56" s="289" t="str">
        <f>IF(ISBLANK('Business Travel'!$E31),"",_xlfn.XLOOKUP('Business Travel'!$D31,Data!$T$6:$T$15,Data!U$6:U$15,"")*'Business Travel'!$E31/1000)</f>
        <v/>
      </c>
      <c r="U56" s="289" t="str">
        <f>IF(ISBLANK('Business Travel'!$E31),"",_xlfn.XLOOKUP('Business Travel'!$D31,Data!$T$6:$T$15,Data!V$6:V$15,"")*'Business Travel'!$E31/1000000)</f>
        <v/>
      </c>
      <c r="V56" s="289" t="str">
        <f>IF(ISBLANK('Business Travel'!$E31),"",_xlfn.XLOOKUP('Business Travel'!$D31,Data!$T$6:$T$15,Data!W$6:W$15,"")*'Business Travel'!$E31/1000000)</f>
        <v/>
      </c>
      <c r="W56" s="144"/>
      <c r="X56" s="289" t="str">
        <f>IF(ISBLANK('Business Travel'!E31),"",Results!T56+25*Results!U56+298*Results!V56)</f>
        <v/>
      </c>
      <c r="Y56" s="144"/>
      <c r="Z56" s="289" t="str">
        <f>IF(ISBLANK('Purchased Gases &amp; Refrigerants'!H33),"",'Purchased Gases &amp; Refrigerants'!G33)</f>
        <v/>
      </c>
      <c r="AA56" s="289" t="str">
        <f>IF(ISBLANK('Purchased Gases &amp; Refrigerants'!I33),"",'Purchased Gases &amp; Refrigerants'!H33)</f>
        <v/>
      </c>
      <c r="AB56" s="144"/>
      <c r="AC56" s="289" t="str">
        <f>IF(ISBLANK('Purchased Gases &amp; Refrigerants'!$J33),"",_xlfn.XLOOKUP('Purchased Gases &amp; Refrigerants'!$I33,Data!$AX$6:$AX$41,Data!$AY$6:$AY$41)*'Purchased Gases &amp; Refrigerants'!$J33*0.0004536)</f>
        <v/>
      </c>
      <c r="AD56" s="144"/>
      <c r="AE56" s="144"/>
      <c r="AF56" s="144"/>
      <c r="AG56" s="144"/>
      <c r="AH56" s="144"/>
      <c r="AI56" s="144"/>
      <c r="AJ56" s="144"/>
      <c r="AK56" s="144"/>
      <c r="AL56" s="144"/>
      <c r="AM56" s="144"/>
      <c r="AN56" s="144"/>
      <c r="AO56" s="289" t="str">
        <f>IF(ISBLANK('Stationary Combustion'!$C30),"",'Stationary Combustion'!B30)</f>
        <v/>
      </c>
      <c r="AP56" s="289" t="str">
        <f>IF(ISBLANK('Stationary Combustion'!$C30),"",'Stationary Combustion'!C30)</f>
        <v/>
      </c>
      <c r="AQ56" s="144"/>
      <c r="AR56" s="289" t="str">
        <f>IF(ISBLANK('Stationary Combustion'!E30),"",_xlfn.XLOOKUP('Stationary Combustion'!$D30,Data!$B$6:$B$33,Data!$A$6:$A$33)*'Stationary Combustion'!$E30*_xlfn.XLOOKUP('Stationary Combustion'!D30,Data!$B$6:$B$33,Data!$J$6:$J$33))</f>
        <v/>
      </c>
      <c r="AT56" s="289" t="str">
        <f>IF(ISBLANK('General Information'!F36),"",'General Information'!B36)</f>
        <v/>
      </c>
      <c r="AU56" s="289" t="str">
        <f>IF(ISBLANK('General Information'!F36),"",'General Information'!C36)</f>
        <v/>
      </c>
      <c r="AV56" s="144"/>
      <c r="AW56" s="289" t="str">
        <f>IF(ISBLANK('General Information'!F36),"",'General Information'!F36)</f>
        <v/>
      </c>
      <c r="AX56" s="182"/>
    </row>
    <row r="57" spans="1:50">
      <c r="A57" s="181"/>
      <c r="B57" s="290" t="str">
        <f>IF(ISBLANK('Stationary Combustion'!B31),"",'Stationary Combustion'!B31)</f>
        <v/>
      </c>
      <c r="C57" s="290" t="str">
        <f>IF(ISBLANK('Stationary Combustion'!C31),"",'Stationary Combustion'!C31)</f>
        <v/>
      </c>
      <c r="D57" s="290" t="str">
        <f>IF(ISBLANK('Stationary Combustion'!$E31),"",'Stationary Combustion'!$E31*_xlfn.XLOOKUP('Stationary Combustion'!$D31,Data!$B$6:$B$33,Data!F$6:F$33)/1000)</f>
        <v/>
      </c>
      <c r="E57" s="290" t="str">
        <f>IF(ISBLANK('Stationary Combustion'!$E31),"",'Stationary Combustion'!$E31*_xlfn.XLOOKUP('Stationary Combustion'!$D31,Data!$B$6:$B$33,Data!G$6:G$33)/1000000)</f>
        <v/>
      </c>
      <c r="F57" s="290" t="str">
        <f>IF(ISBLANK('Stationary Combustion'!$E31),"",'Stationary Combustion'!$E31*_xlfn.XLOOKUP('Stationary Combustion'!$D31,Data!$B$6:$B$33,Data!H$6:H$33)/1000000)</f>
        <v/>
      </c>
      <c r="G57" s="144"/>
      <c r="H57" s="290" t="str">
        <f>IF(ISBLANK('Stationary Combustion'!E31),"",Results!D57+25*Results!E57+298*Results!F57)</f>
        <v/>
      </c>
      <c r="I57" s="144"/>
      <c r="J57" s="290" t="str">
        <f>IF(ISBLANK('External Transportation'!B31),"",'External Transportation'!B31)</f>
        <v/>
      </c>
      <c r="K57" s="290" t="str">
        <f>IF(ISBLANK('External Transportation'!C31),"",'External Transportation'!C31)</f>
        <v/>
      </c>
      <c r="L57" s="290" t="str">
        <f>IF(ISBLANK('External Transportation'!$C31),"",_xlfn.XLOOKUP('External Transportation'!$D31,Data!$AH$7:$AH$12,Data!AI$7:AI$12)*'External Transportation'!$E31*'External Transportation'!$F31/1000)</f>
        <v/>
      </c>
      <c r="M57" s="290" t="str">
        <f>IF(ISBLANK('External Transportation'!$C31),"",_xlfn.XLOOKUP('External Transportation'!$D31,Data!$AH$7:$AH$12,Data!AJ$7:AJ$12)*'External Transportation'!$E31*'External Transportation'!$F31/1000000)</f>
        <v/>
      </c>
      <c r="N57" s="290" t="str">
        <f>IF(ISBLANK('External Transportation'!$C31),"",_xlfn.XLOOKUP('External Transportation'!$D31,Data!$AH$7:$AH$12,Data!AK$7:AK$12)*'External Transportation'!$E31*'External Transportation'!$F31/1000000)</f>
        <v/>
      </c>
      <c r="O57" s="144"/>
      <c r="P57" s="290" t="str">
        <f>IF(ISBLANK('External Transportation'!E31),"",Results!L57+25*Results!M57+298*Results!N57)</f>
        <v/>
      </c>
      <c r="Q57" s="144"/>
      <c r="R57" s="290" t="str">
        <f>IF(ISBLANK('Business Travel'!B32),"",'Business Travel'!B32)</f>
        <v/>
      </c>
      <c r="S57" s="290" t="str">
        <f>IF(ISBLANK('Business Travel'!C32),"",'Business Travel'!C32)</f>
        <v/>
      </c>
      <c r="T57" s="290" t="str">
        <f>IF(ISBLANK('Business Travel'!$E32),"",_xlfn.XLOOKUP('Business Travel'!$D32,Data!$T$6:$T$15,Data!U$6:U$15,"")*'Business Travel'!$E32/1000)</f>
        <v/>
      </c>
      <c r="U57" s="290" t="str">
        <f>IF(ISBLANK('Business Travel'!$E32),"",_xlfn.XLOOKUP('Business Travel'!$D32,Data!$T$6:$T$15,Data!V$6:V$15,"")*'Business Travel'!$E32/1000000)</f>
        <v/>
      </c>
      <c r="V57" s="290" t="str">
        <f>IF(ISBLANK('Business Travel'!$E32),"",_xlfn.XLOOKUP('Business Travel'!$D32,Data!$T$6:$T$15,Data!W$6:W$15,"")*'Business Travel'!$E32/1000000)</f>
        <v/>
      </c>
      <c r="W57" s="144"/>
      <c r="X57" s="290" t="str">
        <f>IF(ISBLANK('Business Travel'!E32),"",Results!T57+25*Results!U57+298*Results!V57)</f>
        <v/>
      </c>
      <c r="Y57" s="144"/>
      <c r="Z57" s="290" t="str">
        <f>IF(ISBLANK('Purchased Gases &amp; Refrigerants'!H34),"",'Purchased Gases &amp; Refrigerants'!G34)</f>
        <v/>
      </c>
      <c r="AA57" s="290" t="str">
        <f>IF(ISBLANK('Purchased Gases &amp; Refrigerants'!I34),"",'Purchased Gases &amp; Refrigerants'!H34)</f>
        <v/>
      </c>
      <c r="AB57" s="144"/>
      <c r="AC57" s="290" t="str">
        <f>IF(ISBLANK('Purchased Gases &amp; Refrigerants'!$J34),"",_xlfn.XLOOKUP('Purchased Gases &amp; Refrigerants'!$I34,Data!$AX$6:$AX$41,Data!$AY$6:$AY$41)*'Purchased Gases &amp; Refrigerants'!$J34*0.0004536)</f>
        <v/>
      </c>
      <c r="AD57" s="144"/>
      <c r="AE57" s="144"/>
      <c r="AF57" s="144"/>
      <c r="AG57" s="144"/>
      <c r="AH57" s="144"/>
      <c r="AI57" s="144"/>
      <c r="AJ57" s="144"/>
      <c r="AK57" s="144"/>
      <c r="AL57" s="144"/>
      <c r="AM57" s="144"/>
      <c r="AN57" s="144"/>
      <c r="AO57" s="290" t="str">
        <f>IF(ISBLANK('Stationary Combustion'!$C31),"",'Stationary Combustion'!B31)</f>
        <v/>
      </c>
      <c r="AP57" s="290" t="str">
        <f>IF(ISBLANK('Stationary Combustion'!$C31),"",'Stationary Combustion'!C31)</f>
        <v/>
      </c>
      <c r="AQ57" s="144"/>
      <c r="AR57" s="290" t="str">
        <f>IF(ISBLANK('Stationary Combustion'!E31),"",_xlfn.XLOOKUP('Stationary Combustion'!$D31,Data!$B$6:$B$33,Data!$A$6:$A$33)*'Stationary Combustion'!$E31*_xlfn.XLOOKUP('Stationary Combustion'!D31,Data!$B$6:$B$33,Data!$J$6:$J$33))</f>
        <v/>
      </c>
      <c r="AT57" s="290" t="str">
        <f>IF(ISBLANK('General Information'!F37),"",'General Information'!B37)</f>
        <v/>
      </c>
      <c r="AU57" s="290" t="str">
        <f>IF(ISBLANK('General Information'!F37),"",'General Information'!C37)</f>
        <v/>
      </c>
      <c r="AV57" s="144"/>
      <c r="AW57" s="290" t="str">
        <f>IF(ISBLANK('General Information'!F37),"",'General Information'!F37)</f>
        <v/>
      </c>
      <c r="AX57" s="182"/>
    </row>
    <row r="58" spans="1:50">
      <c r="A58" s="181"/>
      <c r="B58" s="289" t="str">
        <f>IF(ISBLANK('Stationary Combustion'!B32),"",'Stationary Combustion'!B32)</f>
        <v/>
      </c>
      <c r="C58" s="289" t="str">
        <f>IF(ISBLANK('Stationary Combustion'!C32),"",'Stationary Combustion'!C32)</f>
        <v/>
      </c>
      <c r="D58" s="289" t="str">
        <f>IF(ISBLANK('Stationary Combustion'!$E32),"",'Stationary Combustion'!$E32*_xlfn.XLOOKUP('Stationary Combustion'!$D32,Data!$B$6:$B$33,Data!F$6:F$33)/1000)</f>
        <v/>
      </c>
      <c r="E58" s="289" t="str">
        <f>IF(ISBLANK('Stationary Combustion'!$E32),"",'Stationary Combustion'!$E32*_xlfn.XLOOKUP('Stationary Combustion'!$D32,Data!$B$6:$B$33,Data!G$6:G$33)/1000000)</f>
        <v/>
      </c>
      <c r="F58" s="289" t="str">
        <f>IF(ISBLANK('Stationary Combustion'!$E32),"",'Stationary Combustion'!$E32*_xlfn.XLOOKUP('Stationary Combustion'!$D32,Data!$B$6:$B$33,Data!H$6:H$33)/1000000)</f>
        <v/>
      </c>
      <c r="G58" s="144"/>
      <c r="H58" s="289" t="str">
        <f>IF(ISBLANK('Stationary Combustion'!E32),"",Results!D58+25*Results!E58+298*Results!F58)</f>
        <v/>
      </c>
      <c r="I58" s="144"/>
      <c r="J58" s="289" t="str">
        <f>IF(ISBLANK('External Transportation'!B32),"",'External Transportation'!B32)</f>
        <v/>
      </c>
      <c r="K58" s="289" t="str">
        <f>IF(ISBLANK('External Transportation'!C32),"",'External Transportation'!C32)</f>
        <v/>
      </c>
      <c r="L58" s="289" t="str">
        <f>IF(ISBLANK('External Transportation'!$C32),"",_xlfn.XLOOKUP('External Transportation'!$D32,Data!$AH$7:$AH$12,Data!AI$7:AI$12)*'External Transportation'!$E32*'External Transportation'!$F32/1000)</f>
        <v/>
      </c>
      <c r="M58" s="289" t="str">
        <f>IF(ISBLANK('External Transportation'!$C32),"",_xlfn.XLOOKUP('External Transportation'!$D32,Data!$AH$7:$AH$12,Data!AJ$7:AJ$12)*'External Transportation'!$E32*'External Transportation'!$F32/1000000)</f>
        <v/>
      </c>
      <c r="N58" s="289" t="str">
        <f>IF(ISBLANK('External Transportation'!$C32),"",_xlfn.XLOOKUP('External Transportation'!$D32,Data!$AH$7:$AH$12,Data!AK$7:AK$12)*'External Transportation'!$E32*'External Transportation'!$F32/1000000)</f>
        <v/>
      </c>
      <c r="O58" s="144"/>
      <c r="P58" s="289" t="str">
        <f>IF(ISBLANK('External Transportation'!E32),"",Results!L58+25*Results!M58+298*Results!N58)</f>
        <v/>
      </c>
      <c r="Q58" s="144"/>
      <c r="R58" s="289" t="str">
        <f>IF(ISBLANK('Business Travel'!B33),"",'Business Travel'!B33)</f>
        <v/>
      </c>
      <c r="S58" s="289" t="str">
        <f>IF(ISBLANK('Business Travel'!C33),"",'Business Travel'!C33)</f>
        <v/>
      </c>
      <c r="T58" s="289" t="str">
        <f>IF(ISBLANK('Business Travel'!$E33),"",_xlfn.XLOOKUP('Business Travel'!$D33,Data!$T$6:$T$15,Data!U$6:U$15,"")*'Business Travel'!$E33/1000)</f>
        <v/>
      </c>
      <c r="U58" s="289" t="str">
        <f>IF(ISBLANK('Business Travel'!$E33),"",_xlfn.XLOOKUP('Business Travel'!$D33,Data!$T$6:$T$15,Data!V$6:V$15,"")*'Business Travel'!$E33/1000000)</f>
        <v/>
      </c>
      <c r="V58" s="289" t="str">
        <f>IF(ISBLANK('Business Travel'!$E33),"",_xlfn.XLOOKUP('Business Travel'!$D33,Data!$T$6:$T$15,Data!W$6:W$15,"")*'Business Travel'!$E33/1000000)</f>
        <v/>
      </c>
      <c r="W58" s="144"/>
      <c r="X58" s="289" t="str">
        <f>IF(ISBLANK('Business Travel'!E33),"",Results!T58+25*Results!U58+298*Results!V58)</f>
        <v/>
      </c>
      <c r="Y58" s="144"/>
      <c r="Z58" s="289" t="str">
        <f>IF(ISBLANK('Purchased Gases &amp; Refrigerants'!H35),"",'Purchased Gases &amp; Refrigerants'!G35)</f>
        <v/>
      </c>
      <c r="AA58" s="289" t="str">
        <f>IF(ISBLANK('Purchased Gases &amp; Refrigerants'!I35),"",'Purchased Gases &amp; Refrigerants'!H35)</f>
        <v/>
      </c>
      <c r="AB58" s="144"/>
      <c r="AC58" s="289" t="str">
        <f>IF(ISBLANK('Purchased Gases &amp; Refrigerants'!$J35),"",_xlfn.XLOOKUP('Purchased Gases &amp; Refrigerants'!$I35,Data!$AX$6:$AX$41,Data!$AY$6:$AY$41)*'Purchased Gases &amp; Refrigerants'!$J35*0.0004536)</f>
        <v/>
      </c>
      <c r="AD58" s="144"/>
      <c r="AE58" s="144"/>
      <c r="AF58" s="144"/>
      <c r="AG58" s="144"/>
      <c r="AH58" s="144"/>
      <c r="AI58" s="144"/>
      <c r="AJ58" s="144"/>
      <c r="AK58" s="144"/>
      <c r="AL58" s="144"/>
      <c r="AM58" s="144"/>
      <c r="AN58" s="144"/>
      <c r="AO58" s="289" t="str">
        <f>IF(ISBLANK('Stationary Combustion'!$C32),"",'Stationary Combustion'!B32)</f>
        <v/>
      </c>
      <c r="AP58" s="289" t="str">
        <f>IF(ISBLANK('Stationary Combustion'!$C32),"",'Stationary Combustion'!C32)</f>
        <v/>
      </c>
      <c r="AQ58" s="144"/>
      <c r="AR58" s="289" t="str">
        <f>IF(ISBLANK('Stationary Combustion'!E32),"",_xlfn.XLOOKUP('Stationary Combustion'!$D32,Data!$B$6:$B$33,Data!$A$6:$A$33)*'Stationary Combustion'!$E32*_xlfn.XLOOKUP('Stationary Combustion'!D32,Data!$B$6:$B$33,Data!$J$6:$J$33))</f>
        <v/>
      </c>
      <c r="AT58" s="289" t="str">
        <f>IF(ISBLANK('General Information'!F38),"",'General Information'!B38)</f>
        <v/>
      </c>
      <c r="AU58" s="289" t="str">
        <f>IF(ISBLANK('General Information'!F38),"",'General Information'!C38)</f>
        <v/>
      </c>
      <c r="AV58" s="144"/>
      <c r="AW58" s="289" t="str">
        <f>IF(ISBLANK('General Information'!F38),"",'General Information'!F38)</f>
        <v/>
      </c>
      <c r="AX58" s="182"/>
    </row>
    <row r="59" spans="1:50">
      <c r="A59" s="181"/>
      <c r="B59" s="290" t="str">
        <f>IF(ISBLANK('Stationary Combustion'!B33),"",'Stationary Combustion'!B33)</f>
        <v/>
      </c>
      <c r="C59" s="290" t="str">
        <f>IF(ISBLANK('Stationary Combustion'!C33),"",'Stationary Combustion'!C33)</f>
        <v/>
      </c>
      <c r="D59" s="290" t="str">
        <f>IF(ISBLANK('Stationary Combustion'!$E33),"",'Stationary Combustion'!$E33*_xlfn.XLOOKUP('Stationary Combustion'!$D33,Data!$B$6:$B$33,Data!F$6:F$33)/1000)</f>
        <v/>
      </c>
      <c r="E59" s="290" t="str">
        <f>IF(ISBLANK('Stationary Combustion'!$E33),"",'Stationary Combustion'!$E33*_xlfn.XLOOKUP('Stationary Combustion'!$D33,Data!$B$6:$B$33,Data!G$6:G$33)/1000000)</f>
        <v/>
      </c>
      <c r="F59" s="290" t="str">
        <f>IF(ISBLANK('Stationary Combustion'!$E33),"",'Stationary Combustion'!$E33*_xlfn.XLOOKUP('Stationary Combustion'!$D33,Data!$B$6:$B$33,Data!H$6:H$33)/1000000)</f>
        <v/>
      </c>
      <c r="G59" s="144"/>
      <c r="H59" s="290" t="str">
        <f>IF(ISBLANK('Stationary Combustion'!E33),"",Results!D59+25*Results!E59+298*Results!F59)</f>
        <v/>
      </c>
      <c r="I59" s="144"/>
      <c r="J59" s="290" t="str">
        <f>IF(ISBLANK('External Transportation'!B33),"",'External Transportation'!B33)</f>
        <v/>
      </c>
      <c r="K59" s="290" t="str">
        <f>IF(ISBLANK('External Transportation'!C33),"",'External Transportation'!C33)</f>
        <v/>
      </c>
      <c r="L59" s="290" t="str">
        <f>IF(ISBLANK('External Transportation'!$C33),"",_xlfn.XLOOKUP('External Transportation'!$D33,Data!$AH$7:$AH$12,Data!AI$7:AI$12)*'External Transportation'!$E33*'External Transportation'!$F33/1000)</f>
        <v/>
      </c>
      <c r="M59" s="290" t="str">
        <f>IF(ISBLANK('External Transportation'!$C33),"",_xlfn.XLOOKUP('External Transportation'!$D33,Data!$AH$7:$AH$12,Data!AJ$7:AJ$12)*'External Transportation'!$E33*'External Transportation'!$F33/1000000)</f>
        <v/>
      </c>
      <c r="N59" s="290" t="str">
        <f>IF(ISBLANK('External Transportation'!$C33),"",_xlfn.XLOOKUP('External Transportation'!$D33,Data!$AH$7:$AH$12,Data!AK$7:AK$12)*'External Transportation'!$E33*'External Transportation'!$F33/1000000)</f>
        <v/>
      </c>
      <c r="O59" s="144"/>
      <c r="P59" s="290" t="str">
        <f>IF(ISBLANK('External Transportation'!E33),"",Results!L59+25*Results!M59+298*Results!N59)</f>
        <v/>
      </c>
      <c r="Q59" s="144"/>
      <c r="R59" s="290" t="str">
        <f>IF(ISBLANK('Business Travel'!B34),"",'Business Travel'!B34)</f>
        <v/>
      </c>
      <c r="S59" s="290" t="str">
        <f>IF(ISBLANK('Business Travel'!C34),"",'Business Travel'!C34)</f>
        <v/>
      </c>
      <c r="T59" s="290" t="str">
        <f>IF(ISBLANK('Business Travel'!$E34),"",_xlfn.XLOOKUP('Business Travel'!$D34,Data!$T$6:$T$15,Data!U$6:U$15,"")*'Business Travel'!$E34/1000)</f>
        <v/>
      </c>
      <c r="U59" s="290" t="str">
        <f>IF(ISBLANK('Business Travel'!$E34),"",_xlfn.XLOOKUP('Business Travel'!$D34,Data!$T$6:$T$15,Data!V$6:V$15,"")*'Business Travel'!$E34/1000000)</f>
        <v/>
      </c>
      <c r="V59" s="290" t="str">
        <f>IF(ISBLANK('Business Travel'!$E34),"",_xlfn.XLOOKUP('Business Travel'!$D34,Data!$T$6:$T$15,Data!W$6:W$15,"")*'Business Travel'!$E34/1000000)</f>
        <v/>
      </c>
      <c r="W59" s="144"/>
      <c r="X59" s="290" t="str">
        <f>IF(ISBLANK('Business Travel'!E34),"",Results!T59+25*Results!U59+298*Results!V59)</f>
        <v/>
      </c>
      <c r="Y59" s="144"/>
      <c r="Z59" s="290" t="str">
        <f>IF(ISBLANK('Purchased Gases &amp; Refrigerants'!H36),"",'Purchased Gases &amp; Refrigerants'!G36)</f>
        <v/>
      </c>
      <c r="AA59" s="290" t="str">
        <f>IF(ISBLANK('Purchased Gases &amp; Refrigerants'!I36),"",'Purchased Gases &amp; Refrigerants'!H36)</f>
        <v/>
      </c>
      <c r="AB59" s="144"/>
      <c r="AC59" s="290" t="str">
        <f>IF(ISBLANK('Purchased Gases &amp; Refrigerants'!$J36),"",_xlfn.XLOOKUP('Purchased Gases &amp; Refrigerants'!$I36,Data!$AX$6:$AX$41,Data!$AY$6:$AY$41)*'Purchased Gases &amp; Refrigerants'!$J36*0.0004536)</f>
        <v/>
      </c>
      <c r="AD59" s="144"/>
      <c r="AE59" s="144"/>
      <c r="AF59" s="144"/>
      <c r="AG59" s="144"/>
      <c r="AH59" s="144"/>
      <c r="AI59" s="144"/>
      <c r="AJ59" s="144"/>
      <c r="AK59" s="144"/>
      <c r="AL59" s="144"/>
      <c r="AM59" s="144"/>
      <c r="AN59" s="144"/>
      <c r="AO59" s="290" t="str">
        <f>IF(ISBLANK('Stationary Combustion'!$C33),"",'Stationary Combustion'!B33)</f>
        <v/>
      </c>
      <c r="AP59" s="290" t="str">
        <f>IF(ISBLANK('Stationary Combustion'!$C33),"",'Stationary Combustion'!C33)</f>
        <v/>
      </c>
      <c r="AQ59" s="144"/>
      <c r="AR59" s="290" t="str">
        <f>IF(ISBLANK('Stationary Combustion'!E33),"",_xlfn.XLOOKUP('Stationary Combustion'!$D33,Data!$B$6:$B$33,Data!$A$6:$A$33)*'Stationary Combustion'!$E33*_xlfn.XLOOKUP('Stationary Combustion'!D33,Data!$B$6:$B$33,Data!$J$6:$J$33))</f>
        <v/>
      </c>
      <c r="AT59" s="290" t="str">
        <f>IF(ISBLANK('General Information'!F39),"",'General Information'!B39)</f>
        <v/>
      </c>
      <c r="AU59" s="290" t="str">
        <f>IF(ISBLANK('General Information'!F39),"",'General Information'!C39)</f>
        <v/>
      </c>
      <c r="AV59" s="144"/>
      <c r="AW59" s="290" t="str">
        <f>IF(ISBLANK('General Information'!F39),"",'General Information'!F39)</f>
        <v/>
      </c>
      <c r="AX59" s="182"/>
    </row>
    <row r="60" spans="1:50">
      <c r="A60" s="181"/>
      <c r="B60" s="289" t="str">
        <f>IF(ISBLANK('Stationary Combustion'!B34),"",'Stationary Combustion'!B34)</f>
        <v/>
      </c>
      <c r="C60" s="289" t="str">
        <f>IF(ISBLANK('Stationary Combustion'!C34),"",'Stationary Combustion'!C34)</f>
        <v/>
      </c>
      <c r="D60" s="289" t="str">
        <f>IF(ISBLANK('Stationary Combustion'!$E34),"",'Stationary Combustion'!$E34*_xlfn.XLOOKUP('Stationary Combustion'!$D34,Data!$B$6:$B$33,Data!F$6:F$33)/1000)</f>
        <v/>
      </c>
      <c r="E60" s="289" t="str">
        <f>IF(ISBLANK('Stationary Combustion'!$E34),"",'Stationary Combustion'!$E34*_xlfn.XLOOKUP('Stationary Combustion'!$D34,Data!$B$6:$B$33,Data!G$6:G$33)/1000000)</f>
        <v/>
      </c>
      <c r="F60" s="289" t="str">
        <f>IF(ISBLANK('Stationary Combustion'!$E34),"",'Stationary Combustion'!$E34*_xlfn.XLOOKUP('Stationary Combustion'!$D34,Data!$B$6:$B$33,Data!H$6:H$33)/1000000)</f>
        <v/>
      </c>
      <c r="G60" s="144"/>
      <c r="H60" s="289" t="str">
        <f>IF(ISBLANK('Stationary Combustion'!E34),"",Results!D60+25*Results!E60+298*Results!F60)</f>
        <v/>
      </c>
      <c r="I60" s="144"/>
      <c r="J60" s="289" t="str">
        <f>IF(ISBLANK('External Transportation'!B34),"",'External Transportation'!B34)</f>
        <v/>
      </c>
      <c r="K60" s="289" t="str">
        <f>IF(ISBLANK('External Transportation'!C34),"",'External Transportation'!C34)</f>
        <v/>
      </c>
      <c r="L60" s="289" t="str">
        <f>IF(ISBLANK('External Transportation'!$C34),"",_xlfn.XLOOKUP('External Transportation'!$D34,Data!$AH$7:$AH$12,Data!AI$7:AI$12)*'External Transportation'!$E34*'External Transportation'!$F34/1000)</f>
        <v/>
      </c>
      <c r="M60" s="289" t="str">
        <f>IF(ISBLANK('External Transportation'!$C34),"",_xlfn.XLOOKUP('External Transportation'!$D34,Data!$AH$7:$AH$12,Data!AJ$7:AJ$12)*'External Transportation'!$E34*'External Transportation'!$F34/1000000)</f>
        <v/>
      </c>
      <c r="N60" s="289" t="str">
        <f>IF(ISBLANK('External Transportation'!$C34),"",_xlfn.XLOOKUP('External Transportation'!$D34,Data!$AH$7:$AH$12,Data!AK$7:AK$12)*'External Transportation'!$E34*'External Transportation'!$F34/1000000)</f>
        <v/>
      </c>
      <c r="O60" s="144"/>
      <c r="P60" s="289" t="str">
        <f>IF(ISBLANK('External Transportation'!E34),"",Results!L60+25*Results!M60+298*Results!N60)</f>
        <v/>
      </c>
      <c r="Q60" s="144"/>
      <c r="R60" s="289" t="str">
        <f>IF(ISBLANK('Business Travel'!B35),"",'Business Travel'!B35)</f>
        <v/>
      </c>
      <c r="S60" s="289" t="str">
        <f>IF(ISBLANK('Business Travel'!C35),"",'Business Travel'!C35)</f>
        <v/>
      </c>
      <c r="T60" s="289" t="str">
        <f>IF(ISBLANK('Business Travel'!$E35),"",_xlfn.XLOOKUP('Business Travel'!$D35,Data!$T$6:$T$15,Data!U$6:U$15,"")*'Business Travel'!$E35/1000)</f>
        <v/>
      </c>
      <c r="U60" s="289" t="str">
        <f>IF(ISBLANK('Business Travel'!$E35),"",_xlfn.XLOOKUP('Business Travel'!$D35,Data!$T$6:$T$15,Data!V$6:V$15,"")*'Business Travel'!$E35/1000000)</f>
        <v/>
      </c>
      <c r="V60" s="289" t="str">
        <f>IF(ISBLANK('Business Travel'!$E35),"",_xlfn.XLOOKUP('Business Travel'!$D35,Data!$T$6:$T$15,Data!W$6:W$15,"")*'Business Travel'!$E35/1000000)</f>
        <v/>
      </c>
      <c r="W60" s="144"/>
      <c r="X60" s="289" t="str">
        <f>IF(ISBLANK('Business Travel'!E35),"",Results!T60+25*Results!U60+298*Results!V60)</f>
        <v/>
      </c>
      <c r="Y60" s="144"/>
      <c r="Z60" s="289" t="str">
        <f>IF(ISBLANK('Purchased Gases &amp; Refrigerants'!H37),"",'Purchased Gases &amp; Refrigerants'!G37)</f>
        <v/>
      </c>
      <c r="AA60" s="289" t="str">
        <f>IF(ISBLANK('Purchased Gases &amp; Refrigerants'!I37),"",'Purchased Gases &amp; Refrigerants'!H37)</f>
        <v/>
      </c>
      <c r="AB60" s="144"/>
      <c r="AC60" s="289" t="str">
        <f>IF(ISBLANK('Purchased Gases &amp; Refrigerants'!$J37),"",_xlfn.XLOOKUP('Purchased Gases &amp; Refrigerants'!$I37,Data!$AX$6:$AX$41,Data!$AY$6:$AY$41)*'Purchased Gases &amp; Refrigerants'!$J37*0.0004536)</f>
        <v/>
      </c>
      <c r="AD60" s="144"/>
      <c r="AE60" s="144"/>
      <c r="AF60" s="144"/>
      <c r="AG60" s="144"/>
      <c r="AH60" s="144"/>
      <c r="AI60" s="144"/>
      <c r="AJ60" s="144"/>
      <c r="AK60" s="144"/>
      <c r="AL60" s="144"/>
      <c r="AM60" s="144"/>
      <c r="AN60" s="144"/>
      <c r="AO60" s="289" t="str">
        <f>IF(ISBLANK('Stationary Combustion'!$C34),"",'Stationary Combustion'!B34)</f>
        <v/>
      </c>
      <c r="AP60" s="289" t="str">
        <f>IF(ISBLANK('Stationary Combustion'!$C34),"",'Stationary Combustion'!C34)</f>
        <v/>
      </c>
      <c r="AQ60" s="144"/>
      <c r="AR60" s="289" t="str">
        <f>IF(ISBLANK('Stationary Combustion'!E34),"",_xlfn.XLOOKUP('Stationary Combustion'!$D34,Data!$B$6:$B$33,Data!$A$6:$A$33)*'Stationary Combustion'!$E34*_xlfn.XLOOKUP('Stationary Combustion'!D34,Data!$B$6:$B$33,Data!$J$6:$J$33))</f>
        <v/>
      </c>
      <c r="AT60" s="289" t="str">
        <f>IF(ISBLANK('General Information'!F40),"",'General Information'!B40)</f>
        <v/>
      </c>
      <c r="AU60" s="289" t="str">
        <f>IF(ISBLANK('General Information'!F40),"",'General Information'!C40)</f>
        <v/>
      </c>
      <c r="AV60" s="144"/>
      <c r="AW60" s="289" t="str">
        <f>IF(ISBLANK('General Information'!F40),"",'General Information'!F40)</f>
        <v/>
      </c>
      <c r="AX60" s="182"/>
    </row>
    <row r="61" spans="1:50">
      <c r="A61" s="181"/>
      <c r="B61" s="290" t="str">
        <f>IF(ISBLANK('Stationary Combustion'!B35),"",'Stationary Combustion'!B35)</f>
        <v/>
      </c>
      <c r="C61" s="290" t="str">
        <f>IF(ISBLANK('Stationary Combustion'!C35),"",'Stationary Combustion'!C35)</f>
        <v/>
      </c>
      <c r="D61" s="290" t="str">
        <f>IF(ISBLANK('Stationary Combustion'!$E35),"",'Stationary Combustion'!$E35*_xlfn.XLOOKUP('Stationary Combustion'!$D35,Data!$B$6:$B$33,Data!F$6:F$33)/1000)</f>
        <v/>
      </c>
      <c r="E61" s="290" t="str">
        <f>IF(ISBLANK('Stationary Combustion'!$E35),"",'Stationary Combustion'!$E35*_xlfn.XLOOKUP('Stationary Combustion'!$D35,Data!$B$6:$B$33,Data!G$6:G$33)/1000000)</f>
        <v/>
      </c>
      <c r="F61" s="290" t="str">
        <f>IF(ISBLANK('Stationary Combustion'!$E35),"",'Stationary Combustion'!$E35*_xlfn.XLOOKUP('Stationary Combustion'!$D35,Data!$B$6:$B$33,Data!H$6:H$33)/1000000)</f>
        <v/>
      </c>
      <c r="G61" s="144"/>
      <c r="H61" s="290" t="str">
        <f>IF(ISBLANK('Stationary Combustion'!E35),"",Results!D61+25*Results!E61+298*Results!F61)</f>
        <v/>
      </c>
      <c r="I61" s="144"/>
      <c r="J61" s="290" t="str">
        <f>IF(ISBLANK('External Transportation'!B35),"",'External Transportation'!B35)</f>
        <v/>
      </c>
      <c r="K61" s="290" t="str">
        <f>IF(ISBLANK('External Transportation'!C35),"",'External Transportation'!C35)</f>
        <v/>
      </c>
      <c r="L61" s="290" t="str">
        <f>IF(ISBLANK('External Transportation'!$C35),"",_xlfn.XLOOKUP('External Transportation'!$D35,Data!$AH$7:$AH$12,Data!AI$7:AI$12)*'External Transportation'!$E35*'External Transportation'!$F35/1000)</f>
        <v/>
      </c>
      <c r="M61" s="290" t="str">
        <f>IF(ISBLANK('External Transportation'!$C35),"",_xlfn.XLOOKUP('External Transportation'!$D35,Data!$AH$7:$AH$12,Data!AJ$7:AJ$12)*'External Transportation'!$E35*'External Transportation'!$F35/1000000)</f>
        <v/>
      </c>
      <c r="N61" s="290" t="str">
        <f>IF(ISBLANK('External Transportation'!$C35),"",_xlfn.XLOOKUP('External Transportation'!$D35,Data!$AH$7:$AH$12,Data!AK$7:AK$12)*'External Transportation'!$E35*'External Transportation'!$F35/1000000)</f>
        <v/>
      </c>
      <c r="O61" s="144"/>
      <c r="P61" s="290" t="str">
        <f>IF(ISBLANK('External Transportation'!E35),"",Results!L61+25*Results!M61+298*Results!N61)</f>
        <v/>
      </c>
      <c r="Q61" s="144"/>
      <c r="R61" s="290" t="str">
        <f>IF(ISBLANK('Business Travel'!B36),"",'Business Travel'!B36)</f>
        <v/>
      </c>
      <c r="S61" s="290" t="str">
        <f>IF(ISBLANK('Business Travel'!C36),"",'Business Travel'!C36)</f>
        <v/>
      </c>
      <c r="T61" s="290" t="str">
        <f>IF(ISBLANK('Business Travel'!$E36),"",_xlfn.XLOOKUP('Business Travel'!$D36,Data!$T$6:$T$15,Data!U$6:U$15,"")*'Business Travel'!$E36/1000)</f>
        <v/>
      </c>
      <c r="U61" s="290" t="str">
        <f>IF(ISBLANK('Business Travel'!$E36),"",_xlfn.XLOOKUP('Business Travel'!$D36,Data!$T$6:$T$15,Data!V$6:V$15,"")*'Business Travel'!$E36/1000000)</f>
        <v/>
      </c>
      <c r="V61" s="290" t="str">
        <f>IF(ISBLANK('Business Travel'!$E36),"",_xlfn.XLOOKUP('Business Travel'!$D36,Data!$T$6:$T$15,Data!W$6:W$15,"")*'Business Travel'!$E36/1000000)</f>
        <v/>
      </c>
      <c r="W61" s="144"/>
      <c r="X61" s="290" t="str">
        <f>IF(ISBLANK('Business Travel'!E36),"",Results!T61+25*Results!U61+298*Results!V61)</f>
        <v/>
      </c>
      <c r="Y61" s="144"/>
      <c r="Z61" s="290" t="str">
        <f>IF(ISBLANK('Purchased Gases &amp; Refrigerants'!H38),"",'Purchased Gases &amp; Refrigerants'!G38)</f>
        <v/>
      </c>
      <c r="AA61" s="290" t="str">
        <f>IF(ISBLANK('Purchased Gases &amp; Refrigerants'!I38),"",'Purchased Gases &amp; Refrigerants'!H38)</f>
        <v/>
      </c>
      <c r="AB61" s="144"/>
      <c r="AC61" s="290" t="str">
        <f>IF(ISBLANK('Purchased Gases &amp; Refrigerants'!$J38),"",_xlfn.XLOOKUP('Purchased Gases &amp; Refrigerants'!$I38,Data!$AX$6:$AX$41,Data!$AY$6:$AY$41)*'Purchased Gases &amp; Refrigerants'!$J38*0.0004536)</f>
        <v/>
      </c>
      <c r="AD61" s="144"/>
      <c r="AE61" s="144"/>
      <c r="AF61" s="144"/>
      <c r="AG61" s="144"/>
      <c r="AH61" s="144"/>
      <c r="AI61" s="144"/>
      <c r="AJ61" s="144"/>
      <c r="AK61" s="144"/>
      <c r="AL61" s="144"/>
      <c r="AM61" s="144"/>
      <c r="AN61" s="144"/>
      <c r="AO61" s="290" t="str">
        <f>IF(ISBLANK('Stationary Combustion'!$C35),"",'Stationary Combustion'!B35)</f>
        <v/>
      </c>
      <c r="AP61" s="290" t="str">
        <f>IF(ISBLANK('Stationary Combustion'!$C35),"",'Stationary Combustion'!C35)</f>
        <v/>
      </c>
      <c r="AQ61" s="144"/>
      <c r="AR61" s="290" t="str">
        <f>IF(ISBLANK('Stationary Combustion'!E35),"",_xlfn.XLOOKUP('Stationary Combustion'!$D35,Data!$B$6:$B$33,Data!$A$6:$A$33)*'Stationary Combustion'!$E35*_xlfn.XLOOKUP('Stationary Combustion'!D35,Data!$B$6:$B$33,Data!$J$6:$J$33))</f>
        <v/>
      </c>
      <c r="AT61" s="290" t="str">
        <f>IF(ISBLANK('General Information'!F41),"",'General Information'!B41)</f>
        <v/>
      </c>
      <c r="AU61" s="290" t="str">
        <f>IF(ISBLANK('General Information'!F41),"",'General Information'!C41)</f>
        <v/>
      </c>
      <c r="AV61" s="144"/>
      <c r="AW61" s="290" t="str">
        <f>IF(ISBLANK('General Information'!F41),"",'General Information'!F41)</f>
        <v/>
      </c>
      <c r="AX61" s="182"/>
    </row>
    <row r="62" spans="1:50">
      <c r="A62" s="181"/>
      <c r="B62" s="289" t="str">
        <f>IF(ISBLANK('Stationary Combustion'!B36),"",'Stationary Combustion'!B36)</f>
        <v/>
      </c>
      <c r="C62" s="289" t="str">
        <f>IF(ISBLANK('Stationary Combustion'!C36),"",'Stationary Combustion'!C36)</f>
        <v/>
      </c>
      <c r="D62" s="289" t="str">
        <f>IF(ISBLANK('Stationary Combustion'!$E36),"",'Stationary Combustion'!$E36*_xlfn.XLOOKUP('Stationary Combustion'!$D36,Data!$B$6:$B$33,Data!F$6:F$33)/1000)</f>
        <v/>
      </c>
      <c r="E62" s="289" t="str">
        <f>IF(ISBLANK('Stationary Combustion'!$E36),"",'Stationary Combustion'!$E36*_xlfn.XLOOKUP('Stationary Combustion'!$D36,Data!$B$6:$B$33,Data!G$6:G$33)/1000000)</f>
        <v/>
      </c>
      <c r="F62" s="289" t="str">
        <f>IF(ISBLANK('Stationary Combustion'!$E36),"",'Stationary Combustion'!$E36*_xlfn.XLOOKUP('Stationary Combustion'!$D36,Data!$B$6:$B$33,Data!H$6:H$33)/1000000)</f>
        <v/>
      </c>
      <c r="G62" s="144"/>
      <c r="H62" s="289" t="str">
        <f>IF(ISBLANK('Stationary Combustion'!E36),"",Results!D62+25*Results!E62+298*Results!F62)</f>
        <v/>
      </c>
      <c r="I62" s="144"/>
      <c r="J62" s="289" t="str">
        <f>IF(ISBLANK('External Transportation'!B36),"",'External Transportation'!B36)</f>
        <v/>
      </c>
      <c r="K62" s="289" t="str">
        <f>IF(ISBLANK('External Transportation'!C36),"",'External Transportation'!C36)</f>
        <v/>
      </c>
      <c r="L62" s="289" t="str">
        <f>IF(ISBLANK('External Transportation'!$C36),"",_xlfn.XLOOKUP('External Transportation'!$D36,Data!$AH$7:$AH$12,Data!AI$7:AI$12)*'External Transportation'!$E36*'External Transportation'!$F36/1000)</f>
        <v/>
      </c>
      <c r="M62" s="289" t="str">
        <f>IF(ISBLANK('External Transportation'!$C36),"",_xlfn.XLOOKUP('External Transportation'!$D36,Data!$AH$7:$AH$12,Data!AJ$7:AJ$12)*'External Transportation'!$E36*'External Transportation'!$F36/1000000)</f>
        <v/>
      </c>
      <c r="N62" s="289" t="str">
        <f>IF(ISBLANK('External Transportation'!$C36),"",_xlfn.XLOOKUP('External Transportation'!$D36,Data!$AH$7:$AH$12,Data!AK$7:AK$12)*'External Transportation'!$E36*'External Transportation'!$F36/1000000)</f>
        <v/>
      </c>
      <c r="O62" s="144"/>
      <c r="P62" s="289" t="str">
        <f>IF(ISBLANK('External Transportation'!E36),"",Results!L62+25*Results!M62+298*Results!N62)</f>
        <v/>
      </c>
      <c r="Q62" s="144"/>
      <c r="R62" s="289" t="str">
        <f>IF(ISBLANK('Business Travel'!B37),"",'Business Travel'!B37)</f>
        <v/>
      </c>
      <c r="S62" s="289" t="str">
        <f>IF(ISBLANK('Business Travel'!C37),"",'Business Travel'!C37)</f>
        <v/>
      </c>
      <c r="T62" s="289" t="str">
        <f>IF(ISBLANK('Business Travel'!$E37),"",_xlfn.XLOOKUP('Business Travel'!$D37,Data!$T$6:$T$15,Data!U$6:U$15,"")*'Business Travel'!$E37/1000)</f>
        <v/>
      </c>
      <c r="U62" s="289" t="str">
        <f>IF(ISBLANK('Business Travel'!$E37),"",_xlfn.XLOOKUP('Business Travel'!$D37,Data!$T$6:$T$15,Data!V$6:V$15,"")*'Business Travel'!$E37/1000000)</f>
        <v/>
      </c>
      <c r="V62" s="289" t="str">
        <f>IF(ISBLANK('Business Travel'!$E37),"",_xlfn.XLOOKUP('Business Travel'!$D37,Data!$T$6:$T$15,Data!W$6:W$15,"")*'Business Travel'!$E37/1000000)</f>
        <v/>
      </c>
      <c r="W62" s="144"/>
      <c r="X62" s="289" t="str">
        <f>IF(ISBLANK('Business Travel'!E37),"",Results!T62+25*Results!U62+298*Results!V62)</f>
        <v/>
      </c>
      <c r="Y62" s="144"/>
      <c r="Z62" s="289" t="str">
        <f>IF(ISBLANK('Purchased Gases &amp; Refrigerants'!H39),"",'Purchased Gases &amp; Refrigerants'!G39)</f>
        <v/>
      </c>
      <c r="AA62" s="289" t="str">
        <f>IF(ISBLANK('Purchased Gases &amp; Refrigerants'!I39),"",'Purchased Gases &amp; Refrigerants'!H39)</f>
        <v/>
      </c>
      <c r="AB62" s="144"/>
      <c r="AC62" s="289" t="str">
        <f>IF(ISBLANK('Purchased Gases &amp; Refrigerants'!$J39),"",_xlfn.XLOOKUP('Purchased Gases &amp; Refrigerants'!$I39,Data!$AX$6:$AX$41,Data!$AY$6:$AY$41)*'Purchased Gases &amp; Refrigerants'!$J39*0.0004536)</f>
        <v/>
      </c>
      <c r="AD62" s="144"/>
      <c r="AE62" s="144"/>
      <c r="AF62" s="144"/>
      <c r="AG62" s="144"/>
      <c r="AH62" s="144"/>
      <c r="AI62" s="144"/>
      <c r="AJ62" s="144"/>
      <c r="AK62" s="144"/>
      <c r="AL62" s="144"/>
      <c r="AM62" s="144"/>
      <c r="AN62" s="144"/>
      <c r="AO62" s="289" t="str">
        <f>IF(ISBLANK('Stationary Combustion'!$C36),"",'Stationary Combustion'!B36)</f>
        <v/>
      </c>
      <c r="AP62" s="289" t="str">
        <f>IF(ISBLANK('Stationary Combustion'!$C36),"",'Stationary Combustion'!C36)</f>
        <v/>
      </c>
      <c r="AQ62" s="144"/>
      <c r="AR62" s="289" t="str">
        <f>IF(ISBLANK('Stationary Combustion'!E36),"",_xlfn.XLOOKUP('Stationary Combustion'!$D36,Data!$B$6:$B$33,Data!$A$6:$A$33)*'Stationary Combustion'!$E36*_xlfn.XLOOKUP('Stationary Combustion'!D36,Data!$B$6:$B$33,Data!$J$6:$J$33))</f>
        <v/>
      </c>
      <c r="AT62" s="289" t="str">
        <f>IF(ISBLANK('General Information'!F42),"",'General Information'!B42)</f>
        <v/>
      </c>
      <c r="AU62" s="289" t="str">
        <f>IF(ISBLANK('General Information'!F42),"",'General Information'!C42)</f>
        <v/>
      </c>
      <c r="AV62" s="144"/>
      <c r="AW62" s="289" t="str">
        <f>IF(ISBLANK('General Information'!F42),"",'General Information'!F42)</f>
        <v/>
      </c>
      <c r="AX62" s="182"/>
    </row>
    <row r="63" spans="1:50">
      <c r="A63" s="181"/>
      <c r="B63" s="290" t="str">
        <f>IF(ISBLANK('Stationary Combustion'!B37),"",'Stationary Combustion'!B37)</f>
        <v/>
      </c>
      <c r="C63" s="290" t="str">
        <f>IF(ISBLANK('Stationary Combustion'!C37),"",'Stationary Combustion'!C37)</f>
        <v/>
      </c>
      <c r="D63" s="290" t="str">
        <f>IF(ISBLANK('Stationary Combustion'!$E37),"",'Stationary Combustion'!$E37*_xlfn.XLOOKUP('Stationary Combustion'!$D37,Data!$B$6:$B$33,Data!F$6:F$33)/1000)</f>
        <v/>
      </c>
      <c r="E63" s="290" t="str">
        <f>IF(ISBLANK('Stationary Combustion'!$E37),"",'Stationary Combustion'!$E37*_xlfn.XLOOKUP('Stationary Combustion'!$D37,Data!$B$6:$B$33,Data!G$6:G$33)/1000000)</f>
        <v/>
      </c>
      <c r="F63" s="290" t="str">
        <f>IF(ISBLANK('Stationary Combustion'!$E37),"",'Stationary Combustion'!$E37*_xlfn.XLOOKUP('Stationary Combustion'!$D37,Data!$B$6:$B$33,Data!H$6:H$33)/1000000)</f>
        <v/>
      </c>
      <c r="G63" s="144"/>
      <c r="H63" s="290" t="str">
        <f>IF(ISBLANK('Stationary Combustion'!E37),"",Results!D63+25*Results!E63+298*Results!F63)</f>
        <v/>
      </c>
      <c r="I63" s="144"/>
      <c r="J63" s="290" t="str">
        <f>IF(ISBLANK('External Transportation'!B37),"",'External Transportation'!B37)</f>
        <v/>
      </c>
      <c r="K63" s="290" t="str">
        <f>IF(ISBLANK('External Transportation'!C37),"",'External Transportation'!C37)</f>
        <v/>
      </c>
      <c r="L63" s="290" t="str">
        <f>IF(ISBLANK('External Transportation'!$C37),"",_xlfn.XLOOKUP('External Transportation'!$D37,Data!$AH$7:$AH$12,Data!AI$7:AI$12)*'External Transportation'!$E37*'External Transportation'!$F37/1000)</f>
        <v/>
      </c>
      <c r="M63" s="290" t="str">
        <f>IF(ISBLANK('External Transportation'!$C37),"",_xlfn.XLOOKUP('External Transportation'!$D37,Data!$AH$7:$AH$12,Data!AJ$7:AJ$12)*'External Transportation'!$E37*'External Transportation'!$F37/1000000)</f>
        <v/>
      </c>
      <c r="N63" s="290" t="str">
        <f>IF(ISBLANK('External Transportation'!$C37),"",_xlfn.XLOOKUP('External Transportation'!$D37,Data!$AH$7:$AH$12,Data!AK$7:AK$12)*'External Transportation'!$E37*'External Transportation'!$F37/1000000)</f>
        <v/>
      </c>
      <c r="O63" s="144"/>
      <c r="P63" s="290" t="str">
        <f>IF(ISBLANK('External Transportation'!E37),"",Results!L63+25*Results!M63+298*Results!N63)</f>
        <v/>
      </c>
      <c r="Q63" s="144"/>
      <c r="R63" s="290" t="str">
        <f>IF(ISBLANK('Business Travel'!B38),"",'Business Travel'!B38)</f>
        <v/>
      </c>
      <c r="S63" s="290" t="str">
        <f>IF(ISBLANK('Business Travel'!C38),"",'Business Travel'!C38)</f>
        <v/>
      </c>
      <c r="T63" s="290" t="str">
        <f>IF(ISBLANK('Business Travel'!$E38),"",_xlfn.XLOOKUP('Business Travel'!$D38,Data!$T$6:$T$15,Data!U$6:U$15,"")*'Business Travel'!$E38/1000)</f>
        <v/>
      </c>
      <c r="U63" s="290" t="str">
        <f>IF(ISBLANK('Business Travel'!$E38),"",_xlfn.XLOOKUP('Business Travel'!$D38,Data!$T$6:$T$15,Data!V$6:V$15,"")*'Business Travel'!$E38/1000000)</f>
        <v/>
      </c>
      <c r="V63" s="290" t="str">
        <f>IF(ISBLANK('Business Travel'!$E38),"",_xlfn.XLOOKUP('Business Travel'!$D38,Data!$T$6:$T$15,Data!W$6:W$15,"")*'Business Travel'!$E38/1000000)</f>
        <v/>
      </c>
      <c r="W63" s="144"/>
      <c r="X63" s="290" t="str">
        <f>IF(ISBLANK('Business Travel'!E38),"",Results!T63+25*Results!U63+298*Results!V63)</f>
        <v/>
      </c>
      <c r="Y63" s="144"/>
      <c r="Z63" s="290" t="str">
        <f>IF(ISBLANK('Purchased Gases &amp; Refrigerants'!H40),"",'Purchased Gases &amp; Refrigerants'!G40)</f>
        <v/>
      </c>
      <c r="AA63" s="290" t="str">
        <f>IF(ISBLANK('Purchased Gases &amp; Refrigerants'!I40),"",'Purchased Gases &amp; Refrigerants'!H40)</f>
        <v/>
      </c>
      <c r="AB63" s="144"/>
      <c r="AC63" s="290" t="str">
        <f>IF(ISBLANK('Purchased Gases &amp; Refrigerants'!$J40),"",_xlfn.XLOOKUP('Purchased Gases &amp; Refrigerants'!$I40,Data!$AX$6:$AX$41,Data!$AY$6:$AY$41)*'Purchased Gases &amp; Refrigerants'!$J40*0.0004536)</f>
        <v/>
      </c>
      <c r="AD63" s="144"/>
      <c r="AE63" s="144"/>
      <c r="AF63" s="144"/>
      <c r="AG63" s="144"/>
      <c r="AH63" s="144"/>
      <c r="AI63" s="144"/>
      <c r="AJ63" s="144"/>
      <c r="AK63" s="144"/>
      <c r="AL63" s="144"/>
      <c r="AM63" s="144"/>
      <c r="AN63" s="144"/>
      <c r="AO63" s="290" t="str">
        <f>IF(ISBLANK('Stationary Combustion'!$C37),"",'Stationary Combustion'!B37)</f>
        <v/>
      </c>
      <c r="AP63" s="290" t="str">
        <f>IF(ISBLANK('Stationary Combustion'!$C37),"",'Stationary Combustion'!C37)</f>
        <v/>
      </c>
      <c r="AQ63" s="144"/>
      <c r="AR63" s="290" t="str">
        <f>IF(ISBLANK('Stationary Combustion'!E37),"",_xlfn.XLOOKUP('Stationary Combustion'!$D37,Data!$B$6:$B$33,Data!$A$6:$A$33)*'Stationary Combustion'!$E37*_xlfn.XLOOKUP('Stationary Combustion'!D37,Data!$B$6:$B$33,Data!$J$6:$J$33))</f>
        <v/>
      </c>
      <c r="AT63" s="290" t="str">
        <f>IF(ISBLANK('General Information'!F43),"",'General Information'!B43)</f>
        <v/>
      </c>
      <c r="AU63" s="290" t="str">
        <f>IF(ISBLANK('General Information'!F43),"",'General Information'!C43)</f>
        <v/>
      </c>
      <c r="AV63" s="144"/>
      <c r="AW63" s="290" t="str">
        <f>IF(ISBLANK('General Information'!F43),"",'General Information'!F43)</f>
        <v/>
      </c>
      <c r="AX63" s="182"/>
    </row>
    <row r="64" spans="1:50">
      <c r="A64" s="181"/>
      <c r="B64" s="289" t="str">
        <f>IF(ISBLANK('Stationary Combustion'!B38),"",'Stationary Combustion'!B38)</f>
        <v/>
      </c>
      <c r="C64" s="289" t="str">
        <f>IF(ISBLANK('Stationary Combustion'!C38),"",'Stationary Combustion'!C38)</f>
        <v/>
      </c>
      <c r="D64" s="289" t="str">
        <f>IF(ISBLANK('Stationary Combustion'!$E38),"",'Stationary Combustion'!$E38*_xlfn.XLOOKUP('Stationary Combustion'!$D38,Data!$B$6:$B$33,Data!F$6:F$33)/1000)</f>
        <v/>
      </c>
      <c r="E64" s="289" t="str">
        <f>IF(ISBLANK('Stationary Combustion'!$E38),"",'Stationary Combustion'!$E38*_xlfn.XLOOKUP('Stationary Combustion'!$D38,Data!$B$6:$B$33,Data!G$6:G$33)/1000000)</f>
        <v/>
      </c>
      <c r="F64" s="289" t="str">
        <f>IF(ISBLANK('Stationary Combustion'!$E38),"",'Stationary Combustion'!$E38*_xlfn.XLOOKUP('Stationary Combustion'!$D38,Data!$B$6:$B$33,Data!H$6:H$33)/1000000)</f>
        <v/>
      </c>
      <c r="G64" s="144"/>
      <c r="H64" s="289" t="str">
        <f>IF(ISBLANK('Stationary Combustion'!E38),"",Results!D64+25*Results!E64+298*Results!F64)</f>
        <v/>
      </c>
      <c r="I64" s="144"/>
      <c r="J64" s="289" t="str">
        <f>IF(ISBLANK('External Transportation'!B38),"",'External Transportation'!B38)</f>
        <v/>
      </c>
      <c r="K64" s="289" t="str">
        <f>IF(ISBLANK('External Transportation'!C38),"",'External Transportation'!C38)</f>
        <v/>
      </c>
      <c r="L64" s="289" t="str">
        <f>IF(ISBLANK('External Transportation'!$C38),"",_xlfn.XLOOKUP('External Transportation'!$D38,Data!$AH$7:$AH$12,Data!AI$7:AI$12)*'External Transportation'!$E38*'External Transportation'!$F38/1000)</f>
        <v/>
      </c>
      <c r="M64" s="289" t="str">
        <f>IF(ISBLANK('External Transportation'!$C38),"",_xlfn.XLOOKUP('External Transportation'!$D38,Data!$AH$7:$AH$12,Data!AJ$7:AJ$12)*'External Transportation'!$E38*'External Transportation'!$F38/1000000)</f>
        <v/>
      </c>
      <c r="N64" s="289" t="str">
        <f>IF(ISBLANK('External Transportation'!$C38),"",_xlfn.XLOOKUP('External Transportation'!$D38,Data!$AH$7:$AH$12,Data!AK$7:AK$12)*'External Transportation'!$E38*'External Transportation'!$F38/1000000)</f>
        <v/>
      </c>
      <c r="O64" s="144"/>
      <c r="P64" s="289" t="str">
        <f>IF(ISBLANK('External Transportation'!E38),"",Results!L64+25*Results!M64+298*Results!N64)</f>
        <v/>
      </c>
      <c r="Q64" s="144"/>
      <c r="R64" s="289" t="str">
        <f>IF(ISBLANK('Business Travel'!B39),"",'Business Travel'!B39)</f>
        <v/>
      </c>
      <c r="S64" s="289" t="str">
        <f>IF(ISBLANK('Business Travel'!C39),"",'Business Travel'!C39)</f>
        <v/>
      </c>
      <c r="T64" s="289" t="str">
        <f>IF(ISBLANK('Business Travel'!$E39),"",_xlfn.XLOOKUP('Business Travel'!$D39,Data!$T$6:$T$15,Data!U$6:U$15,"")*'Business Travel'!$E39/1000)</f>
        <v/>
      </c>
      <c r="U64" s="289" t="str">
        <f>IF(ISBLANK('Business Travel'!$E39),"",_xlfn.XLOOKUP('Business Travel'!$D39,Data!$T$6:$T$15,Data!V$6:V$15,"")*'Business Travel'!$E39/1000000)</f>
        <v/>
      </c>
      <c r="V64" s="289" t="str">
        <f>IF(ISBLANK('Business Travel'!$E39),"",_xlfn.XLOOKUP('Business Travel'!$D39,Data!$T$6:$T$15,Data!W$6:W$15,"")*'Business Travel'!$E39/1000000)</f>
        <v/>
      </c>
      <c r="W64" s="144"/>
      <c r="X64" s="289" t="str">
        <f>IF(ISBLANK('Business Travel'!E39),"",Results!T64+25*Results!U64+298*Results!V64)</f>
        <v/>
      </c>
      <c r="Y64" s="144"/>
      <c r="Z64" s="289" t="str">
        <f>IF(ISBLANK('Purchased Gases &amp; Refrigerants'!H41),"",'Purchased Gases &amp; Refrigerants'!G41)</f>
        <v/>
      </c>
      <c r="AA64" s="289" t="str">
        <f>IF(ISBLANK('Purchased Gases &amp; Refrigerants'!I41),"",'Purchased Gases &amp; Refrigerants'!H41)</f>
        <v/>
      </c>
      <c r="AB64" s="144"/>
      <c r="AC64" s="289" t="str">
        <f>IF(ISBLANK('Purchased Gases &amp; Refrigerants'!$J41),"",_xlfn.XLOOKUP('Purchased Gases &amp; Refrigerants'!$I41,Data!$AX$6:$AX$41,Data!$AY$6:$AY$41)*'Purchased Gases &amp; Refrigerants'!$J41*0.0004536)</f>
        <v/>
      </c>
      <c r="AD64" s="144"/>
      <c r="AE64" s="144"/>
      <c r="AF64" s="144"/>
      <c r="AG64" s="144"/>
      <c r="AH64" s="144"/>
      <c r="AI64" s="144"/>
      <c r="AJ64" s="144"/>
      <c r="AK64" s="144"/>
      <c r="AL64" s="144"/>
      <c r="AM64" s="144"/>
      <c r="AN64" s="144"/>
      <c r="AO64" s="289" t="str">
        <f>IF(ISBLANK('Stationary Combustion'!$C38),"",'Stationary Combustion'!B38)</f>
        <v/>
      </c>
      <c r="AP64" s="289" t="str">
        <f>IF(ISBLANK('Stationary Combustion'!$C38),"",'Stationary Combustion'!C38)</f>
        <v/>
      </c>
      <c r="AQ64" s="144"/>
      <c r="AR64" s="289" t="str">
        <f>IF(ISBLANK('Stationary Combustion'!E38),"",_xlfn.XLOOKUP('Stationary Combustion'!$D38,Data!$B$6:$B$33,Data!$A$6:$A$33)*'Stationary Combustion'!$E38*_xlfn.XLOOKUP('Stationary Combustion'!D38,Data!$B$6:$B$33,Data!$J$6:$J$33))</f>
        <v/>
      </c>
      <c r="AT64" s="289">
        <f>IF(ISBLANK('General Information'!F44),"",'General Information'!B44)</f>
        <v>3</v>
      </c>
      <c r="AU64" s="289" t="str">
        <f>IF(ISBLANK('General Information'!F44),"",'General Information'!C44)</f>
        <v>Alaska Plant 3</v>
      </c>
      <c r="AV64" s="144"/>
      <c r="AW64" s="289">
        <f>IF(ISBLANK('General Information'!F44),"",'General Information'!F44)</f>
        <v>18000</v>
      </c>
      <c r="AX64" s="182"/>
    </row>
    <row r="65" spans="1:50">
      <c r="A65" s="181"/>
      <c r="B65" s="144"/>
      <c r="C65" s="144"/>
      <c r="D65" s="144"/>
      <c r="E65" s="144"/>
      <c r="F65" s="144"/>
      <c r="G65" s="144"/>
      <c r="H65" s="291">
        <f>SUM(H38:H64)</f>
        <v>0</v>
      </c>
      <c r="I65" s="144"/>
      <c r="J65" s="144" t="s">
        <v>51</v>
      </c>
      <c r="K65" s="144" t="s">
        <v>51</v>
      </c>
      <c r="L65" s="144"/>
      <c r="M65" s="144"/>
      <c r="N65" s="144"/>
      <c r="O65" s="144"/>
      <c r="P65" s="291">
        <f>SUM(P38:P64)</f>
        <v>0</v>
      </c>
      <c r="R65" s="144"/>
      <c r="S65" s="144"/>
      <c r="T65" s="144"/>
      <c r="U65" s="144"/>
      <c r="V65" s="144"/>
      <c r="W65" s="144"/>
      <c r="X65" s="291">
        <f>SUM(X38:X64)</f>
        <v>0</v>
      </c>
      <c r="Y65" s="144"/>
      <c r="Z65" s="144"/>
      <c r="AA65" s="144"/>
      <c r="AB65" s="144"/>
      <c r="AC65" s="291">
        <f>SUM(AC38:AC64)</f>
        <v>0</v>
      </c>
      <c r="AD65" s="144"/>
      <c r="AE65" s="144"/>
      <c r="AF65" s="144"/>
      <c r="AG65" s="144"/>
      <c r="AH65" s="144"/>
      <c r="AI65" s="144"/>
      <c r="AJ65" s="144"/>
      <c r="AK65" s="144"/>
      <c r="AL65" s="144"/>
      <c r="AM65" s="144"/>
      <c r="AN65" s="144"/>
      <c r="AO65" s="144"/>
      <c r="AP65" s="144" t="str">
        <f>IF(ISBLANK('Purchased Gases &amp; Refrigerants'!$C73),"",'Purchased Gases &amp; Refrigerants'!H73)</f>
        <v/>
      </c>
      <c r="AQ65" s="144"/>
      <c r="AR65" s="291">
        <f>IF(Introduction!M57="1,2&amp;3",0,SUM(AR38:AR64))</f>
        <v>0</v>
      </c>
      <c r="AS65" s="144"/>
      <c r="AT65" s="144"/>
      <c r="AU65" s="144"/>
      <c r="AV65" s="144"/>
      <c r="AW65" s="291" t="s">
        <v>411</v>
      </c>
      <c r="AX65" s="182"/>
    </row>
    <row r="66" spans="1:50">
      <c r="A66" s="181"/>
      <c r="B66" s="144"/>
      <c r="C66" s="144"/>
      <c r="D66" s="144"/>
      <c r="E66" s="144"/>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I66" s="144"/>
      <c r="AJ66" s="144"/>
      <c r="AK66" s="144"/>
      <c r="AL66" s="144"/>
      <c r="AM66" s="144"/>
      <c r="AN66" s="144"/>
      <c r="AO66" s="144"/>
      <c r="AP66" s="144"/>
      <c r="AQ66" s="144"/>
      <c r="AR66" s="144"/>
      <c r="AS66" s="144"/>
      <c r="AT66" s="144"/>
      <c r="AU66" s="144"/>
      <c r="AV66" s="144"/>
      <c r="AW66" s="144"/>
      <c r="AX66" s="182"/>
    </row>
    <row r="67" spans="1:50">
      <c r="A67" s="181"/>
      <c r="B67" s="144"/>
      <c r="C67" s="144"/>
      <c r="D67" s="144"/>
      <c r="E67" s="144"/>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I67" s="144"/>
      <c r="AJ67" s="144"/>
      <c r="AK67" s="144"/>
      <c r="AL67" s="144"/>
      <c r="AM67" s="144"/>
      <c r="AN67" s="144"/>
      <c r="AO67" s="144"/>
      <c r="AP67" s="144"/>
      <c r="AQ67" s="144"/>
      <c r="AR67" s="144"/>
      <c r="AS67" s="144"/>
      <c r="AT67" s="144"/>
      <c r="AU67" s="144"/>
      <c r="AV67" s="144"/>
      <c r="AW67" s="144"/>
      <c r="AX67" s="182"/>
    </row>
    <row r="68" spans="1:50">
      <c r="A68" s="181"/>
      <c r="B68" s="303" t="s">
        <v>412</v>
      </c>
      <c r="C68" s="304"/>
      <c r="D68" s="301"/>
      <c r="E68" s="301" t="s">
        <v>413</v>
      </c>
      <c r="F68" s="301" t="s">
        <v>414</v>
      </c>
      <c r="G68" s="301" t="s">
        <v>415</v>
      </c>
      <c r="H68" s="301" t="s">
        <v>416</v>
      </c>
      <c r="I68" s="144"/>
      <c r="J68" s="144"/>
      <c r="K68" s="144"/>
      <c r="L68" s="144"/>
      <c r="M68" s="144"/>
      <c r="N68" s="144"/>
      <c r="O68" s="144"/>
      <c r="P68" s="144"/>
      <c r="Q68" s="144"/>
      <c r="R68" s="144"/>
      <c r="S68" s="144"/>
      <c r="T68" s="144"/>
      <c r="U68" s="144"/>
      <c r="V68" s="144"/>
      <c r="W68" s="144"/>
      <c r="X68" s="144"/>
      <c r="Y68" s="144"/>
      <c r="Z68" s="445" t="s">
        <v>95</v>
      </c>
      <c r="AA68" s="445"/>
      <c r="AB68" s="144"/>
      <c r="AC68" s="144" t="s">
        <v>51</v>
      </c>
      <c r="AD68" s="144"/>
      <c r="AI68" s="232"/>
      <c r="AJ68" s="232"/>
      <c r="AK68" s="232"/>
      <c r="AL68" s="232"/>
      <c r="AM68" s="232"/>
      <c r="AN68" s="232"/>
      <c r="AP68" s="144"/>
      <c r="AQ68" s="144"/>
      <c r="AR68" s="144"/>
      <c r="AS68" s="144"/>
      <c r="AT68" s="144"/>
      <c r="AU68" s="144"/>
      <c r="AV68" s="144"/>
      <c r="AW68" s="144"/>
      <c r="AX68" s="182"/>
    </row>
    <row r="69" spans="1:50">
      <c r="A69" s="181"/>
      <c r="B69" s="194" t="s">
        <v>417</v>
      </c>
      <c r="C69" s="194" t="s">
        <v>418</v>
      </c>
      <c r="D69" s="194" t="s">
        <v>419</v>
      </c>
      <c r="E69" s="291">
        <f>H65+P34+AC34+AC65</f>
        <v>0</v>
      </c>
      <c r="F69" s="291">
        <f>H34</f>
        <v>28148.763081600002</v>
      </c>
      <c r="G69" s="291">
        <f ca="1">P65+X34+X65+AW34+AM34</f>
        <v>13.801424202500002</v>
      </c>
      <c r="H69" s="291">
        <f ca="1">SUM(E69:G69)</f>
        <v>28162.5645058025</v>
      </c>
      <c r="I69" s="144"/>
      <c r="J69" s="144"/>
      <c r="K69" s="144"/>
      <c r="L69" s="144"/>
      <c r="M69" s="144"/>
      <c r="N69" s="144"/>
      <c r="O69" s="144"/>
      <c r="P69" s="144"/>
      <c r="Q69" s="144"/>
      <c r="R69" s="144"/>
      <c r="S69" s="144"/>
      <c r="T69" s="144"/>
      <c r="U69" s="144"/>
      <c r="V69" s="144"/>
      <c r="W69" s="144"/>
      <c r="X69" s="144"/>
      <c r="Y69" s="144"/>
      <c r="Z69" s="215" t="s">
        <v>35</v>
      </c>
      <c r="AA69" s="213" t="s">
        <v>36</v>
      </c>
      <c r="AB69" s="213" t="s">
        <v>99</v>
      </c>
      <c r="AC69" s="213"/>
      <c r="AE69" s="213" t="s">
        <v>420</v>
      </c>
      <c r="AI69" s="144"/>
      <c r="AJ69" s="144"/>
      <c r="AK69" s="144"/>
      <c r="AL69" s="144"/>
      <c r="AM69" s="144"/>
      <c r="AN69" s="144"/>
      <c r="AP69" s="144"/>
      <c r="AQ69" s="144"/>
      <c r="AR69" s="144"/>
      <c r="AS69" s="144"/>
      <c r="AT69" s="144"/>
      <c r="AU69" s="144"/>
      <c r="AV69" s="144"/>
      <c r="AW69" s="144"/>
      <c r="AX69" s="182"/>
    </row>
    <row r="70" spans="1:50">
      <c r="A70" s="181"/>
      <c r="B70" s="194" t="s">
        <v>421</v>
      </c>
      <c r="C70" s="194" t="s">
        <v>422</v>
      </c>
      <c r="D70" s="194" t="s">
        <v>423</v>
      </c>
      <c r="E70" s="291">
        <f>AE97</f>
        <v>0</v>
      </c>
      <c r="F70" s="302" t="s">
        <v>424</v>
      </c>
      <c r="G70" s="302" t="s">
        <v>424</v>
      </c>
      <c r="H70" s="291">
        <f>AE97</f>
        <v>0</v>
      </c>
      <c r="I70" s="144"/>
      <c r="J70" s="144"/>
      <c r="K70" s="144"/>
      <c r="L70" s="144"/>
      <c r="M70" s="144"/>
      <c r="N70" s="144"/>
      <c r="O70" s="144"/>
      <c r="P70" s="144"/>
      <c r="Q70" s="144"/>
      <c r="R70" s="144"/>
      <c r="S70" s="144"/>
      <c r="T70" s="144"/>
      <c r="U70" s="144"/>
      <c r="V70" s="144"/>
      <c r="W70" s="144"/>
      <c r="X70" s="144"/>
      <c r="Y70" s="144"/>
      <c r="Z70" s="289" t="str">
        <f>IF(ISBLANK('Purchased Gases &amp; Refrigerants'!$M15),"",'Purchased Gases &amp; Refrigerants'!L15)</f>
        <v/>
      </c>
      <c r="AA70" s="289" t="str">
        <f>IF(ISBLANK('Purchased Gases &amp; Refrigerants'!$M15),"",'Purchased Gases &amp; Refrigerants'!M15)</f>
        <v/>
      </c>
      <c r="AB70" s="292" t="str">
        <f>IF(ISBLANK('Purchased Gases &amp; Refrigerants'!N15),"",'Purchased Gases &amp; Refrigerants'!N15)</f>
        <v/>
      </c>
      <c r="AC70" s="293"/>
      <c r="AE70" s="289" t="str">
        <f>IF(ISBLANK('Purchased Gases &amp; Refrigerants'!O15),"",0.0129*'Purchased Gases &amp; Refrigerants'!O15*0.4536)</f>
        <v/>
      </c>
      <c r="AI70" s="144"/>
      <c r="AJ70" s="144"/>
      <c r="AK70" s="144"/>
      <c r="AL70" s="144"/>
      <c r="AM70" s="144"/>
      <c r="AN70" s="144"/>
      <c r="AP70" s="144"/>
      <c r="AQ70" s="144"/>
      <c r="AR70" s="144"/>
      <c r="AS70" s="144"/>
      <c r="AT70" s="144"/>
      <c r="AU70" s="144"/>
      <c r="AV70" s="144"/>
      <c r="AW70" s="144"/>
      <c r="AX70" s="182"/>
    </row>
    <row r="71" spans="1:50">
      <c r="A71" s="181"/>
      <c r="B71" s="194" t="s">
        <v>425</v>
      </c>
      <c r="C71" s="194" t="s">
        <v>426</v>
      </c>
      <c r="D71" s="194" t="s">
        <v>423</v>
      </c>
      <c r="E71" s="291">
        <f>AH34</f>
        <v>0</v>
      </c>
      <c r="F71" s="302" t="s">
        <v>424</v>
      </c>
      <c r="G71" s="302" t="s">
        <v>424</v>
      </c>
      <c r="H71" s="291">
        <f>AH34</f>
        <v>0</v>
      </c>
      <c r="I71" s="144"/>
      <c r="J71" s="144"/>
      <c r="K71" s="144"/>
      <c r="L71" s="144"/>
      <c r="M71" s="144"/>
      <c r="N71" s="144"/>
      <c r="O71" s="144"/>
      <c r="P71" s="144"/>
      <c r="Q71" s="144"/>
      <c r="R71" s="144"/>
      <c r="S71" s="144"/>
      <c r="T71" s="144"/>
      <c r="U71" s="144"/>
      <c r="V71" s="144"/>
      <c r="W71" s="144"/>
      <c r="X71" s="144"/>
      <c r="Y71" s="144"/>
      <c r="Z71" s="290" t="str">
        <f>IF(ISBLANK('Purchased Gases &amp; Refrigerants'!$M16),"",'Purchased Gases &amp; Refrigerants'!L16)</f>
        <v/>
      </c>
      <c r="AA71" s="290" t="str">
        <f>IF(ISBLANK('Purchased Gases &amp; Refrigerants'!$M16),"",'Purchased Gases &amp; Refrigerants'!M16)</f>
        <v/>
      </c>
      <c r="AB71" s="294" t="str">
        <f>IF(ISBLANK('Purchased Gases &amp; Refrigerants'!N16),"",'Purchased Gases &amp; Refrigerants'!N16)</f>
        <v/>
      </c>
      <c r="AC71" s="295"/>
      <c r="AE71" s="290" t="str">
        <f>IF(ISBLANK('Purchased Gases &amp; Refrigerants'!O16),"",0.0129*'Purchased Gases &amp; Refrigerants'!O16*0.4536)</f>
        <v/>
      </c>
      <c r="AI71" s="144"/>
      <c r="AJ71" s="144"/>
      <c r="AK71" s="144"/>
      <c r="AL71" s="144"/>
      <c r="AM71" s="144"/>
      <c r="AN71" s="144"/>
      <c r="AP71" s="144"/>
      <c r="AQ71" s="144"/>
      <c r="AR71" s="144"/>
      <c r="AS71" s="144"/>
      <c r="AT71" s="144"/>
      <c r="AU71" s="144"/>
      <c r="AV71" s="144"/>
      <c r="AW71" s="144"/>
      <c r="AX71" s="182"/>
    </row>
    <row r="72" spans="1:50">
      <c r="A72" s="181"/>
      <c r="B72" s="194" t="s">
        <v>427</v>
      </c>
      <c r="C72" s="194" t="s">
        <v>428</v>
      </c>
      <c r="D72" s="194" t="s">
        <v>419</v>
      </c>
      <c r="E72" s="302" t="s">
        <v>424</v>
      </c>
      <c r="F72" s="302" t="s">
        <v>424</v>
      </c>
      <c r="G72" s="291">
        <f>AR34</f>
        <v>0</v>
      </c>
      <c r="H72" s="291">
        <f>AR34</f>
        <v>0</v>
      </c>
      <c r="I72" s="144"/>
      <c r="J72" s="144"/>
      <c r="K72" s="144"/>
      <c r="L72" s="144"/>
      <c r="M72" s="144"/>
      <c r="N72" s="144"/>
      <c r="O72" s="144"/>
      <c r="P72" s="144"/>
      <c r="Q72" s="144"/>
      <c r="R72" s="144"/>
      <c r="S72" s="144"/>
      <c r="T72" s="144"/>
      <c r="U72" s="144"/>
      <c r="V72" s="144"/>
      <c r="W72" s="144"/>
      <c r="X72" s="144"/>
      <c r="Y72" s="144"/>
      <c r="Z72" s="289" t="str">
        <f>IF(ISBLANK('Purchased Gases &amp; Refrigerants'!$M17),"",'Purchased Gases &amp; Refrigerants'!L17)</f>
        <v/>
      </c>
      <c r="AA72" s="289" t="str">
        <f>IF(ISBLANK('Purchased Gases &amp; Refrigerants'!$M17),"",'Purchased Gases &amp; Refrigerants'!M17)</f>
        <v/>
      </c>
      <c r="AB72" s="292" t="str">
        <f>IF(ISBLANK('Purchased Gases &amp; Refrigerants'!N17),"",'Purchased Gases &amp; Refrigerants'!N17)</f>
        <v/>
      </c>
      <c r="AC72" s="293"/>
      <c r="AE72" s="289" t="str">
        <f>IF(ISBLANK('Purchased Gases &amp; Refrigerants'!O17),"",0.0129*'Purchased Gases &amp; Refrigerants'!O17*0.4536)</f>
        <v/>
      </c>
      <c r="AI72" s="144"/>
      <c r="AJ72" s="144"/>
      <c r="AK72" s="144"/>
      <c r="AL72" s="144"/>
      <c r="AM72" s="144"/>
      <c r="AN72" s="144"/>
      <c r="AP72" s="144"/>
      <c r="AQ72" s="144"/>
      <c r="AR72" s="144"/>
      <c r="AS72" s="144"/>
      <c r="AT72" s="144"/>
      <c r="AU72" s="144"/>
      <c r="AV72" s="144"/>
      <c r="AW72" s="144"/>
      <c r="AX72" s="182"/>
    </row>
    <row r="73" spans="1:50">
      <c r="A73" s="181"/>
      <c r="B73" s="194" t="s">
        <v>429</v>
      </c>
      <c r="C73" s="194" t="s">
        <v>430</v>
      </c>
      <c r="D73" s="194" t="s">
        <v>423</v>
      </c>
      <c r="E73" s="302" t="s">
        <v>424</v>
      </c>
      <c r="F73" s="302" t="s">
        <v>424</v>
      </c>
      <c r="G73" s="291">
        <f>AR65</f>
        <v>0</v>
      </c>
      <c r="H73" s="291">
        <f>AR65</f>
        <v>0</v>
      </c>
      <c r="I73" s="144"/>
      <c r="J73" s="144"/>
      <c r="K73" s="144"/>
      <c r="L73" s="144"/>
      <c r="M73" s="144"/>
      <c r="N73" s="144"/>
      <c r="O73" s="144"/>
      <c r="P73" s="144"/>
      <c r="Q73" s="144"/>
      <c r="R73" s="144"/>
      <c r="S73" s="144"/>
      <c r="T73" s="144"/>
      <c r="U73" s="144"/>
      <c r="V73" s="144"/>
      <c r="W73" s="144"/>
      <c r="X73" s="144"/>
      <c r="Y73" s="144"/>
      <c r="Z73" s="290" t="str">
        <f>IF(ISBLANK('Purchased Gases &amp; Refrigerants'!$M18),"",'Purchased Gases &amp; Refrigerants'!L18)</f>
        <v/>
      </c>
      <c r="AA73" s="290" t="str">
        <f>IF(ISBLANK('Purchased Gases &amp; Refrigerants'!$M18),"",'Purchased Gases &amp; Refrigerants'!M18)</f>
        <v/>
      </c>
      <c r="AB73" s="294" t="str">
        <f>IF(ISBLANK('Purchased Gases &amp; Refrigerants'!N18),"",'Purchased Gases &amp; Refrigerants'!N18)</f>
        <v/>
      </c>
      <c r="AC73" s="295"/>
      <c r="AE73" s="290" t="str">
        <f>IF(ISBLANK('Purchased Gases &amp; Refrigerants'!O18),"",0.0129*'Purchased Gases &amp; Refrigerants'!O18*0.4536)</f>
        <v/>
      </c>
      <c r="AI73" s="144"/>
      <c r="AJ73" s="144"/>
      <c r="AK73" s="144"/>
      <c r="AL73" s="144"/>
      <c r="AM73" s="144"/>
      <c r="AN73" s="144"/>
      <c r="AP73" s="144"/>
      <c r="AQ73" s="144"/>
      <c r="AR73" s="144"/>
      <c r="AS73" s="144"/>
      <c r="AT73" s="144"/>
      <c r="AU73" s="144"/>
      <c r="AV73" s="144"/>
      <c r="AW73" s="144"/>
      <c r="AX73" s="182"/>
    </row>
    <row r="74" spans="1:50">
      <c r="A74" s="181"/>
      <c r="B74" s="194" t="s">
        <v>431</v>
      </c>
      <c r="C74" s="194"/>
      <c r="D74" s="194" t="s">
        <v>432</v>
      </c>
      <c r="E74" s="291">
        <f>'General Information'!G45*0.000022957</f>
        <v>0.14462910000000001</v>
      </c>
      <c r="F74" s="302" t="s">
        <v>424</v>
      </c>
      <c r="G74" s="302" t="s">
        <v>424</v>
      </c>
      <c r="H74" s="291">
        <f>'General Information'!G45*0.000022957</f>
        <v>0.14462910000000001</v>
      </c>
      <c r="I74" s="144"/>
      <c r="J74" s="144"/>
      <c r="K74" s="144"/>
      <c r="L74" s="144"/>
      <c r="M74" s="144"/>
      <c r="N74" s="144"/>
      <c r="O74" s="144"/>
      <c r="P74" s="144"/>
      <c r="Q74" s="144"/>
      <c r="R74" s="144"/>
      <c r="S74" s="144"/>
      <c r="T74" s="144"/>
      <c r="U74" s="144"/>
      <c r="V74" s="144"/>
      <c r="W74" s="144"/>
      <c r="X74" s="144"/>
      <c r="Y74" s="144"/>
      <c r="Z74" s="289" t="str">
        <f>IF(ISBLANK('Purchased Gases &amp; Refrigerants'!$M19),"",'Purchased Gases &amp; Refrigerants'!L19)</f>
        <v/>
      </c>
      <c r="AA74" s="289" t="str">
        <f>IF(ISBLANK('Purchased Gases &amp; Refrigerants'!$M19),"",'Purchased Gases &amp; Refrigerants'!M19)</f>
        <v/>
      </c>
      <c r="AB74" s="292" t="str">
        <f>IF(ISBLANK('Purchased Gases &amp; Refrigerants'!N19),"",'Purchased Gases &amp; Refrigerants'!N19)</f>
        <v/>
      </c>
      <c r="AC74" s="293"/>
      <c r="AE74" s="289" t="str">
        <f>IF(ISBLANK('Purchased Gases &amp; Refrigerants'!O19),"",0.0129*'Purchased Gases &amp; Refrigerants'!O19*0.4536)</f>
        <v/>
      </c>
      <c r="AI74" s="144"/>
      <c r="AJ74" s="144"/>
      <c r="AK74" s="144"/>
      <c r="AL74" s="144"/>
      <c r="AM74" s="144"/>
      <c r="AN74" s="144"/>
      <c r="AP74" s="144"/>
      <c r="AQ74" s="144"/>
      <c r="AR74" s="144"/>
      <c r="AS74" s="144"/>
      <c r="AT74" s="144"/>
      <c r="AU74" s="144"/>
      <c r="AV74" s="144"/>
      <c r="AW74" s="144"/>
      <c r="AX74" s="182"/>
    </row>
    <row r="75" spans="1:50">
      <c r="A75" s="181"/>
      <c r="B75" s="194" t="s">
        <v>433</v>
      </c>
      <c r="C75" s="194"/>
      <c r="D75" s="194" t="s">
        <v>419</v>
      </c>
      <c r="E75" s="291">
        <f>'General Information'!$F$45*'Unit Conversions'!D27</f>
        <v>253.595</v>
      </c>
      <c r="F75" s="302" t="s">
        <v>424</v>
      </c>
      <c r="G75" s="302" t="s">
        <v>424</v>
      </c>
      <c r="H75" s="291">
        <f>'General Information'!F45*0.00378541</f>
        <v>253.62246999999999</v>
      </c>
      <c r="I75" s="144"/>
      <c r="J75" s="144"/>
      <c r="K75" s="144"/>
      <c r="L75" s="144"/>
      <c r="M75" s="144"/>
      <c r="N75" s="144"/>
      <c r="O75" s="144"/>
      <c r="P75" s="144"/>
      <c r="Q75" s="144"/>
      <c r="R75" s="144"/>
      <c r="S75" s="144"/>
      <c r="T75" s="144"/>
      <c r="U75" s="144"/>
      <c r="V75" s="144"/>
      <c r="W75" s="144"/>
      <c r="X75" s="144"/>
      <c r="Y75" s="144"/>
      <c r="Z75" s="290" t="str">
        <f>IF(ISBLANK('Purchased Gases &amp; Refrigerants'!$M20),"",'Purchased Gases &amp; Refrigerants'!L20)</f>
        <v/>
      </c>
      <c r="AA75" s="290" t="str">
        <f>IF(ISBLANK('Purchased Gases &amp; Refrigerants'!$M20),"",'Purchased Gases &amp; Refrigerants'!M20)</f>
        <v/>
      </c>
      <c r="AB75" s="294" t="str">
        <f>IF(ISBLANK('Purchased Gases &amp; Refrigerants'!N20),"",'Purchased Gases &amp; Refrigerants'!N20)</f>
        <v/>
      </c>
      <c r="AC75" s="295"/>
      <c r="AE75" s="290" t="str">
        <f>IF(ISBLANK('Purchased Gases &amp; Refrigerants'!O20),"",0.0129*'Purchased Gases &amp; Refrigerants'!O20*0.4536)</f>
        <v/>
      </c>
      <c r="AI75" s="144"/>
      <c r="AJ75" s="144"/>
      <c r="AK75" s="144"/>
      <c r="AL75" s="144"/>
      <c r="AM75" s="144"/>
      <c r="AN75" s="144"/>
      <c r="AP75" s="144"/>
      <c r="AQ75" s="144"/>
      <c r="AR75" s="144"/>
      <c r="AS75" s="144"/>
      <c r="AT75" s="144"/>
      <c r="AU75" s="144"/>
      <c r="AV75" s="144"/>
      <c r="AW75" s="144"/>
      <c r="AX75" s="182"/>
    </row>
    <row r="76" spans="1:50">
      <c r="A76" s="181"/>
      <c r="B76" s="144"/>
      <c r="C76" s="144"/>
      <c r="D76" s="144"/>
      <c r="E76" s="144"/>
      <c r="F76" s="144"/>
      <c r="G76" s="144"/>
      <c r="H76" s="144"/>
      <c r="I76" s="144"/>
      <c r="J76" s="144"/>
      <c r="K76" s="144"/>
      <c r="L76" s="144"/>
      <c r="M76" s="144"/>
      <c r="N76" s="144"/>
      <c r="O76" s="144"/>
      <c r="P76" s="144"/>
      <c r="Q76" s="144"/>
      <c r="R76" s="144"/>
      <c r="S76" s="144"/>
      <c r="T76" s="144"/>
      <c r="U76" s="144"/>
      <c r="V76" s="144"/>
      <c r="W76" s="144"/>
      <c r="X76" s="144"/>
      <c r="Y76" s="144"/>
      <c r="Z76" s="289" t="str">
        <f>IF(ISBLANK('Purchased Gases &amp; Refrigerants'!$M21),"",'Purchased Gases &amp; Refrigerants'!L21)</f>
        <v/>
      </c>
      <c r="AA76" s="289" t="str">
        <f>IF(ISBLANK('Purchased Gases &amp; Refrigerants'!$M21),"",'Purchased Gases &amp; Refrigerants'!M21)</f>
        <v/>
      </c>
      <c r="AB76" s="292" t="str">
        <f>IF(ISBLANK('Purchased Gases &amp; Refrigerants'!N21),"",'Purchased Gases &amp; Refrigerants'!N21)</f>
        <v/>
      </c>
      <c r="AC76" s="293"/>
      <c r="AE76" s="289" t="str">
        <f>IF(ISBLANK('Purchased Gases &amp; Refrigerants'!O21),"",0.0129*'Purchased Gases &amp; Refrigerants'!O21*0.4536)</f>
        <v/>
      </c>
      <c r="AI76" s="144"/>
      <c r="AJ76" s="144"/>
      <c r="AK76" s="144"/>
      <c r="AL76" s="144"/>
      <c r="AM76" s="144"/>
      <c r="AN76" s="144"/>
      <c r="AP76" s="144"/>
      <c r="AQ76" s="144"/>
      <c r="AR76" s="144"/>
      <c r="AS76" s="144"/>
      <c r="AT76" s="144"/>
      <c r="AU76" s="144"/>
      <c r="AV76" s="144"/>
      <c r="AW76" s="144"/>
      <c r="AX76" s="182"/>
    </row>
    <row r="77" spans="1:50">
      <c r="A77" s="181"/>
      <c r="B77" s="144"/>
      <c r="C77" s="144"/>
      <c r="D77" s="144"/>
      <c r="E77" s="144"/>
      <c r="F77" s="144"/>
      <c r="G77" s="144"/>
      <c r="H77" s="144"/>
      <c r="I77" s="144"/>
      <c r="J77" s="144"/>
      <c r="K77" s="144"/>
      <c r="L77" s="144"/>
      <c r="M77" s="144"/>
      <c r="N77" s="144"/>
      <c r="O77" s="144"/>
      <c r="P77" s="144"/>
      <c r="Q77" s="144"/>
      <c r="R77" s="144"/>
      <c r="S77" s="144"/>
      <c r="T77" s="144"/>
      <c r="U77" s="144"/>
      <c r="V77" s="144"/>
      <c r="W77" s="144"/>
      <c r="X77" s="144"/>
      <c r="Y77" s="144"/>
      <c r="Z77" s="290" t="str">
        <f>IF(ISBLANK('Purchased Gases &amp; Refrigerants'!$M22),"",'Purchased Gases &amp; Refrigerants'!L22)</f>
        <v/>
      </c>
      <c r="AA77" s="290" t="str">
        <f>IF(ISBLANK('Purchased Gases &amp; Refrigerants'!$M22),"",'Purchased Gases &amp; Refrigerants'!M22)</f>
        <v/>
      </c>
      <c r="AB77" s="294" t="str">
        <f>IF(ISBLANK('Purchased Gases &amp; Refrigerants'!N22),"",'Purchased Gases &amp; Refrigerants'!N22)</f>
        <v/>
      </c>
      <c r="AC77" s="295"/>
      <c r="AE77" s="290" t="str">
        <f>IF(ISBLANK('Purchased Gases &amp; Refrigerants'!O22),"",0.0129*'Purchased Gases &amp; Refrigerants'!O22*0.4536)</f>
        <v/>
      </c>
      <c r="AI77" s="144"/>
      <c r="AJ77" s="144"/>
      <c r="AK77" s="144"/>
      <c r="AL77" s="144"/>
      <c r="AM77" s="144"/>
      <c r="AN77" s="144"/>
      <c r="AP77" s="144"/>
      <c r="AQ77" s="144"/>
      <c r="AR77" s="144"/>
      <c r="AS77" s="144"/>
      <c r="AT77" s="144"/>
      <c r="AU77" s="144"/>
      <c r="AV77" s="144"/>
      <c r="AW77" s="144"/>
      <c r="AX77" s="182"/>
    </row>
    <row r="78" spans="1:50">
      <c r="A78" s="181"/>
      <c r="B78" s="144"/>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289" t="str">
        <f>IF(ISBLANK('Purchased Gases &amp; Refrigerants'!$M23),"",'Purchased Gases &amp; Refrigerants'!L23)</f>
        <v/>
      </c>
      <c r="AA78" s="289" t="str">
        <f>IF(ISBLANK('Purchased Gases &amp; Refrigerants'!$M23),"",'Purchased Gases &amp; Refrigerants'!M23)</f>
        <v/>
      </c>
      <c r="AB78" s="292" t="str">
        <f>IF(ISBLANK('Purchased Gases &amp; Refrigerants'!N23),"",'Purchased Gases &amp; Refrigerants'!N23)</f>
        <v/>
      </c>
      <c r="AC78" s="293"/>
      <c r="AE78" s="289" t="str">
        <f>IF(ISBLANK('Purchased Gases &amp; Refrigerants'!O23),"",0.0129*'Purchased Gases &amp; Refrigerants'!O23*0.4536)</f>
        <v/>
      </c>
      <c r="AI78" s="144"/>
      <c r="AJ78" s="144"/>
      <c r="AK78" s="144"/>
      <c r="AL78" s="144"/>
      <c r="AM78" s="144"/>
      <c r="AN78" s="144"/>
      <c r="AP78" s="144"/>
      <c r="AQ78" s="144"/>
      <c r="AR78" s="144"/>
      <c r="AS78" s="144"/>
      <c r="AT78" s="144"/>
      <c r="AU78" s="144"/>
      <c r="AV78" s="144"/>
      <c r="AW78" s="144"/>
      <c r="AX78" s="182"/>
    </row>
    <row r="79" spans="1:50">
      <c r="A79" s="181"/>
      <c r="B79" s="144"/>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290" t="str">
        <f>IF(ISBLANK('Purchased Gases &amp; Refrigerants'!$M24),"",'Purchased Gases &amp; Refrigerants'!L24)</f>
        <v/>
      </c>
      <c r="AA79" s="290" t="str">
        <f>IF(ISBLANK('Purchased Gases &amp; Refrigerants'!$M24),"",'Purchased Gases &amp; Refrigerants'!M24)</f>
        <v/>
      </c>
      <c r="AB79" s="294" t="str">
        <f>IF(ISBLANK('Purchased Gases &amp; Refrigerants'!N24),"",'Purchased Gases &amp; Refrigerants'!N24)</f>
        <v/>
      </c>
      <c r="AC79" s="295"/>
      <c r="AE79" s="290" t="str">
        <f>IF(ISBLANK('Purchased Gases &amp; Refrigerants'!O24),"",0.0129*'Purchased Gases &amp; Refrigerants'!O24*0.4536)</f>
        <v/>
      </c>
      <c r="AI79" s="144"/>
      <c r="AJ79" s="144"/>
      <c r="AK79" s="144"/>
      <c r="AL79" s="144"/>
      <c r="AM79" s="144"/>
      <c r="AN79" s="144"/>
      <c r="AP79" s="144"/>
      <c r="AQ79" s="144"/>
      <c r="AR79" s="144"/>
      <c r="AS79" s="144"/>
      <c r="AT79" s="144"/>
      <c r="AU79" s="144"/>
      <c r="AV79" s="144"/>
      <c r="AW79" s="144"/>
      <c r="AX79" s="182"/>
    </row>
    <row r="80" spans="1:50">
      <c r="A80" s="181"/>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289" t="str">
        <f>IF(ISBLANK('Purchased Gases &amp; Refrigerants'!$M25),"",'Purchased Gases &amp; Refrigerants'!L25)</f>
        <v/>
      </c>
      <c r="AA80" s="289" t="str">
        <f>IF(ISBLANK('Purchased Gases &amp; Refrigerants'!$M25),"",'Purchased Gases &amp; Refrigerants'!M25)</f>
        <v/>
      </c>
      <c r="AB80" s="292" t="str">
        <f>IF(ISBLANK('Purchased Gases &amp; Refrigerants'!N25),"",'Purchased Gases &amp; Refrigerants'!N25)</f>
        <v/>
      </c>
      <c r="AC80" s="293"/>
      <c r="AE80" s="289" t="str">
        <f>IF(ISBLANK('Purchased Gases &amp; Refrigerants'!O25),"",0.0129*'Purchased Gases &amp; Refrigerants'!O25*0.4536)</f>
        <v/>
      </c>
      <c r="AI80" s="144"/>
      <c r="AJ80" s="144"/>
      <c r="AK80" s="144"/>
      <c r="AL80" s="144"/>
      <c r="AM80" s="144"/>
      <c r="AN80" s="144"/>
      <c r="AP80" s="144"/>
      <c r="AQ80" s="144"/>
      <c r="AR80" s="144"/>
      <c r="AS80" s="144"/>
      <c r="AT80" s="144"/>
      <c r="AU80" s="144"/>
      <c r="AV80" s="144"/>
      <c r="AW80" s="144"/>
      <c r="AX80" s="182"/>
    </row>
    <row r="81" spans="1:50">
      <c r="A81" s="181"/>
      <c r="B81" s="144"/>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290" t="str">
        <f>IF(ISBLANK('Purchased Gases &amp; Refrigerants'!$M26),"",'Purchased Gases &amp; Refrigerants'!L26)</f>
        <v/>
      </c>
      <c r="AA81" s="290" t="str">
        <f>IF(ISBLANK('Purchased Gases &amp; Refrigerants'!$M26),"",'Purchased Gases &amp; Refrigerants'!M26)</f>
        <v/>
      </c>
      <c r="AB81" s="294" t="str">
        <f>IF(ISBLANK('Purchased Gases &amp; Refrigerants'!N26),"",'Purchased Gases &amp; Refrigerants'!N26)</f>
        <v/>
      </c>
      <c r="AC81" s="295"/>
      <c r="AE81" s="290" t="str">
        <f>IF(ISBLANK('Purchased Gases &amp; Refrigerants'!O26),"",0.0129*'Purchased Gases &amp; Refrigerants'!O26*0.4536)</f>
        <v/>
      </c>
      <c r="AI81" s="144"/>
      <c r="AJ81" s="144"/>
      <c r="AK81" s="144"/>
      <c r="AL81" s="144"/>
      <c r="AM81" s="144"/>
      <c r="AN81" s="144"/>
      <c r="AP81" s="144"/>
      <c r="AQ81" s="144"/>
      <c r="AR81" s="144"/>
      <c r="AS81" s="144"/>
      <c r="AT81" s="144"/>
      <c r="AU81" s="144"/>
      <c r="AV81" s="144"/>
      <c r="AW81" s="144"/>
      <c r="AX81" s="182"/>
    </row>
    <row r="82" spans="1:50">
      <c r="A82" s="181"/>
      <c r="B82" s="144"/>
      <c r="C82" s="144"/>
      <c r="D82" s="144"/>
      <c r="E82" s="144"/>
      <c r="F82" s="144"/>
      <c r="G82" s="144"/>
      <c r="H82" s="144"/>
      <c r="I82" s="144"/>
      <c r="J82" s="144"/>
      <c r="K82" s="144"/>
      <c r="L82" s="144"/>
      <c r="M82" s="144"/>
      <c r="N82" s="144"/>
      <c r="O82" s="144"/>
      <c r="P82" s="144"/>
      <c r="Q82" s="144"/>
      <c r="R82" s="144"/>
      <c r="S82" s="144"/>
      <c r="T82" s="144"/>
      <c r="U82" s="144"/>
      <c r="V82" s="144"/>
      <c r="W82" s="144"/>
      <c r="X82" s="144"/>
      <c r="Y82" s="144"/>
      <c r="Z82" s="289" t="str">
        <f>IF(ISBLANK('Purchased Gases &amp; Refrigerants'!$M27),"",'Purchased Gases &amp; Refrigerants'!L27)</f>
        <v/>
      </c>
      <c r="AA82" s="289" t="str">
        <f>IF(ISBLANK('Purchased Gases &amp; Refrigerants'!$M27),"",'Purchased Gases &amp; Refrigerants'!M27)</f>
        <v/>
      </c>
      <c r="AB82" s="292" t="str">
        <f>IF(ISBLANK('Purchased Gases &amp; Refrigerants'!N27),"",'Purchased Gases &amp; Refrigerants'!N27)</f>
        <v/>
      </c>
      <c r="AC82" s="293"/>
      <c r="AE82" s="289" t="str">
        <f>IF(ISBLANK('Purchased Gases &amp; Refrigerants'!O27),"",0.0129*'Purchased Gases &amp; Refrigerants'!O27*0.4536)</f>
        <v/>
      </c>
      <c r="AI82" s="144"/>
      <c r="AJ82" s="144"/>
      <c r="AK82" s="144"/>
      <c r="AL82" s="144"/>
      <c r="AM82" s="144"/>
      <c r="AN82" s="144"/>
      <c r="AP82" s="144"/>
      <c r="AQ82" s="144"/>
      <c r="AR82" s="144"/>
      <c r="AS82" s="144"/>
      <c r="AT82" s="144"/>
      <c r="AU82" s="144"/>
      <c r="AV82" s="144"/>
      <c r="AW82" s="144"/>
      <c r="AX82" s="182"/>
    </row>
    <row r="83" spans="1:50">
      <c r="A83" s="181"/>
      <c r="B83" s="144"/>
      <c r="C83" s="144"/>
      <c r="D83" s="144"/>
      <c r="E83" s="144"/>
      <c r="F83" s="144"/>
      <c r="G83" s="144"/>
      <c r="H83" s="144"/>
      <c r="I83" s="144"/>
      <c r="J83" s="144"/>
      <c r="K83" s="144"/>
      <c r="L83" s="144"/>
      <c r="M83" s="144"/>
      <c r="N83" s="144"/>
      <c r="O83" s="144"/>
      <c r="P83" s="144"/>
      <c r="Q83" s="144"/>
      <c r="R83" s="144"/>
      <c r="S83" s="144"/>
      <c r="T83" s="144"/>
      <c r="U83" s="144"/>
      <c r="V83" s="144"/>
      <c r="W83" s="144"/>
      <c r="X83" s="144"/>
      <c r="Y83" s="144"/>
      <c r="Z83" s="290" t="str">
        <f>IF(ISBLANK('Purchased Gases &amp; Refrigerants'!$M28),"",'Purchased Gases &amp; Refrigerants'!L28)</f>
        <v/>
      </c>
      <c r="AA83" s="290" t="str">
        <f>IF(ISBLANK('Purchased Gases &amp; Refrigerants'!$M28),"",'Purchased Gases &amp; Refrigerants'!M28)</f>
        <v/>
      </c>
      <c r="AB83" s="294" t="str">
        <f>IF(ISBLANK('Purchased Gases &amp; Refrigerants'!N28),"",'Purchased Gases &amp; Refrigerants'!N28)</f>
        <v/>
      </c>
      <c r="AC83" s="295"/>
      <c r="AE83" s="290" t="str">
        <f>IF(ISBLANK('Purchased Gases &amp; Refrigerants'!O28),"",0.0129*'Purchased Gases &amp; Refrigerants'!O28*0.4536)</f>
        <v/>
      </c>
      <c r="AI83" s="144"/>
      <c r="AJ83" s="144"/>
      <c r="AK83" s="144"/>
      <c r="AL83" s="144"/>
      <c r="AM83" s="144"/>
      <c r="AN83" s="144"/>
      <c r="AP83" s="144"/>
      <c r="AQ83" s="144"/>
      <c r="AR83" s="144"/>
      <c r="AS83" s="144"/>
      <c r="AT83" s="144"/>
      <c r="AU83" s="144"/>
      <c r="AV83" s="144"/>
      <c r="AW83" s="144"/>
      <c r="AX83" s="182"/>
    </row>
    <row r="84" spans="1:50">
      <c r="A84" s="181"/>
      <c r="B84" s="144"/>
      <c r="C84" s="144"/>
      <c r="D84" s="144"/>
      <c r="E84" s="144"/>
      <c r="F84" s="144"/>
      <c r="G84" s="144"/>
      <c r="H84" s="144"/>
      <c r="I84" s="144"/>
      <c r="J84" s="144"/>
      <c r="K84" s="144"/>
      <c r="L84" s="144"/>
      <c r="M84" s="144"/>
      <c r="N84" s="144"/>
      <c r="O84" s="144"/>
      <c r="P84" s="144"/>
      <c r="Q84" s="144"/>
      <c r="R84" s="144"/>
      <c r="S84" s="144"/>
      <c r="T84" s="144"/>
      <c r="U84" s="144"/>
      <c r="V84" s="144"/>
      <c r="W84" s="144"/>
      <c r="X84" s="144"/>
      <c r="Y84" s="144"/>
      <c r="Z84" s="289" t="str">
        <f>IF(ISBLANK('Purchased Gases &amp; Refrigerants'!$M29),"",'Purchased Gases &amp; Refrigerants'!L29)</f>
        <v/>
      </c>
      <c r="AA84" s="289" t="str">
        <f>IF(ISBLANK('Purchased Gases &amp; Refrigerants'!$M29),"",'Purchased Gases &amp; Refrigerants'!M29)</f>
        <v/>
      </c>
      <c r="AB84" s="292" t="str">
        <f>IF(ISBLANK('Purchased Gases &amp; Refrigerants'!N29),"",'Purchased Gases &amp; Refrigerants'!N29)</f>
        <v/>
      </c>
      <c r="AC84" s="293"/>
      <c r="AE84" s="289" t="str">
        <f>IF(ISBLANK('Purchased Gases &amp; Refrigerants'!O29),"",0.0129*'Purchased Gases &amp; Refrigerants'!O29*0.4536)</f>
        <v/>
      </c>
      <c r="AI84" s="144"/>
      <c r="AJ84" s="144"/>
      <c r="AK84" s="144"/>
      <c r="AL84" s="144"/>
      <c r="AM84" s="144"/>
      <c r="AN84" s="144"/>
      <c r="AP84" s="144"/>
      <c r="AQ84" s="144"/>
      <c r="AR84" s="144"/>
      <c r="AS84" s="144"/>
      <c r="AT84" s="144"/>
      <c r="AU84" s="144"/>
      <c r="AV84" s="144"/>
      <c r="AW84" s="144"/>
      <c r="AX84" s="182"/>
    </row>
    <row r="85" spans="1:50">
      <c r="A85" s="181"/>
      <c r="B85" s="144"/>
      <c r="C85" s="144"/>
      <c r="D85" s="144"/>
      <c r="E85" s="144"/>
      <c r="F85" s="144"/>
      <c r="G85" s="144"/>
      <c r="H85" s="144"/>
      <c r="I85" s="144"/>
      <c r="J85" s="144"/>
      <c r="K85" s="144"/>
      <c r="L85" s="144"/>
      <c r="M85" s="144"/>
      <c r="N85" s="144"/>
      <c r="O85" s="144"/>
      <c r="P85" s="144"/>
      <c r="Q85" s="144"/>
      <c r="R85" s="144"/>
      <c r="S85" s="144"/>
      <c r="T85" s="144"/>
      <c r="U85" s="144"/>
      <c r="V85" s="144"/>
      <c r="W85" s="144"/>
      <c r="X85" s="144"/>
      <c r="Y85" s="144"/>
      <c r="Z85" s="290" t="str">
        <f>IF(ISBLANK('Purchased Gases &amp; Refrigerants'!$M30),"",'Purchased Gases &amp; Refrigerants'!L30)</f>
        <v/>
      </c>
      <c r="AA85" s="290" t="str">
        <f>IF(ISBLANK('Purchased Gases &amp; Refrigerants'!$M30),"",'Purchased Gases &amp; Refrigerants'!M30)</f>
        <v/>
      </c>
      <c r="AB85" s="294" t="str">
        <f>IF(ISBLANK('Purchased Gases &amp; Refrigerants'!N30),"",'Purchased Gases &amp; Refrigerants'!N30)</f>
        <v/>
      </c>
      <c r="AC85" s="295"/>
      <c r="AE85" s="290" t="str">
        <f>IF(ISBLANK('Purchased Gases &amp; Refrigerants'!O30),"",0.0129*'Purchased Gases &amp; Refrigerants'!O30*0.4536)</f>
        <v/>
      </c>
      <c r="AI85" s="144"/>
      <c r="AJ85" s="144"/>
      <c r="AK85" s="144"/>
      <c r="AL85" s="144"/>
      <c r="AM85" s="144"/>
      <c r="AN85" s="144"/>
      <c r="AP85" s="144"/>
      <c r="AQ85" s="144"/>
      <c r="AR85" s="144"/>
      <c r="AS85" s="144"/>
      <c r="AT85" s="144"/>
      <c r="AU85" s="144"/>
      <c r="AV85" s="144"/>
      <c r="AW85" s="144"/>
      <c r="AX85" s="182"/>
    </row>
    <row r="86" spans="1:50">
      <c r="A86" s="181"/>
      <c r="B86" s="144"/>
      <c r="C86" s="144"/>
      <c r="D86" s="144"/>
      <c r="E86" s="144"/>
      <c r="F86" s="144"/>
      <c r="G86" s="144"/>
      <c r="H86" s="144"/>
      <c r="I86" s="144"/>
      <c r="J86" s="144"/>
      <c r="K86" s="144"/>
      <c r="L86" s="144"/>
      <c r="M86" s="144"/>
      <c r="N86" s="144"/>
      <c r="O86" s="144"/>
      <c r="P86" s="144"/>
      <c r="Q86" s="144"/>
      <c r="R86" s="144"/>
      <c r="S86" s="144"/>
      <c r="T86" s="144"/>
      <c r="U86" s="144"/>
      <c r="V86" s="144"/>
      <c r="W86" s="144"/>
      <c r="X86" s="144"/>
      <c r="Y86" s="144"/>
      <c r="Z86" s="289" t="str">
        <f>IF(ISBLANK('Purchased Gases &amp; Refrigerants'!$M31),"",'Purchased Gases &amp; Refrigerants'!L31)</f>
        <v/>
      </c>
      <c r="AA86" s="289" t="str">
        <f>IF(ISBLANK('Purchased Gases &amp; Refrigerants'!$M31),"",'Purchased Gases &amp; Refrigerants'!M31)</f>
        <v/>
      </c>
      <c r="AB86" s="292" t="str">
        <f>IF(ISBLANK('Purchased Gases &amp; Refrigerants'!N31),"",'Purchased Gases &amp; Refrigerants'!N31)</f>
        <v/>
      </c>
      <c r="AC86" s="293"/>
      <c r="AE86" s="289" t="str">
        <f>IF(ISBLANK('Purchased Gases &amp; Refrigerants'!O31),"",0.0129*'Purchased Gases &amp; Refrigerants'!O31*0.4536)</f>
        <v/>
      </c>
      <c r="AI86" s="144"/>
      <c r="AJ86" s="144"/>
      <c r="AK86" s="144"/>
      <c r="AL86" s="144"/>
      <c r="AM86" s="144"/>
      <c r="AN86" s="144"/>
      <c r="AP86" s="144"/>
      <c r="AQ86" s="144"/>
      <c r="AR86" s="144"/>
      <c r="AS86" s="144"/>
      <c r="AT86" s="144"/>
      <c r="AU86" s="144"/>
      <c r="AV86" s="144"/>
      <c r="AW86" s="144"/>
      <c r="AX86" s="182"/>
    </row>
    <row r="87" spans="1:50">
      <c r="A87" s="181"/>
      <c r="B87" s="144"/>
      <c r="C87" s="144"/>
      <c r="D87" s="144"/>
      <c r="E87" s="144"/>
      <c r="F87" s="144"/>
      <c r="G87" s="144"/>
      <c r="H87" s="144"/>
      <c r="I87" s="144"/>
      <c r="J87" s="144"/>
      <c r="K87" s="144"/>
      <c r="L87" s="144"/>
      <c r="M87" s="144"/>
      <c r="N87" s="144"/>
      <c r="O87" s="144"/>
      <c r="P87" s="144"/>
      <c r="Q87" s="144"/>
      <c r="R87" s="144"/>
      <c r="S87" s="144"/>
      <c r="T87" s="144"/>
      <c r="U87" s="144"/>
      <c r="V87" s="144"/>
      <c r="W87" s="144"/>
      <c r="X87" s="144"/>
      <c r="Y87" s="144"/>
      <c r="Z87" s="290" t="str">
        <f>IF(ISBLANK('Purchased Gases &amp; Refrigerants'!$M32),"",'Purchased Gases &amp; Refrigerants'!L32)</f>
        <v/>
      </c>
      <c r="AA87" s="290" t="str">
        <f>IF(ISBLANK('Purchased Gases &amp; Refrigerants'!$M32),"",'Purchased Gases &amp; Refrigerants'!M32)</f>
        <v/>
      </c>
      <c r="AB87" s="294" t="str">
        <f>IF(ISBLANK('Purchased Gases &amp; Refrigerants'!N32),"",'Purchased Gases &amp; Refrigerants'!N32)</f>
        <v/>
      </c>
      <c r="AC87" s="295"/>
      <c r="AE87" s="290" t="str">
        <f>IF(ISBLANK('Purchased Gases &amp; Refrigerants'!O32),"",0.0129*'Purchased Gases &amp; Refrigerants'!O32*0.4536)</f>
        <v/>
      </c>
      <c r="AI87" s="144"/>
      <c r="AJ87" s="144"/>
      <c r="AK87" s="144"/>
      <c r="AL87" s="144"/>
      <c r="AM87" s="144"/>
      <c r="AN87" s="144"/>
      <c r="AP87" s="144"/>
      <c r="AQ87" s="144"/>
      <c r="AR87" s="144"/>
      <c r="AS87" s="144"/>
      <c r="AT87" s="144"/>
      <c r="AU87" s="144"/>
      <c r="AV87" s="144"/>
      <c r="AW87" s="144"/>
      <c r="AX87" s="182"/>
    </row>
    <row r="88" spans="1:50">
      <c r="A88" s="181"/>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289" t="str">
        <f>IF(ISBLANK('Purchased Gases &amp; Refrigerants'!$M33),"",'Purchased Gases &amp; Refrigerants'!L33)</f>
        <v/>
      </c>
      <c r="AA88" s="289" t="str">
        <f>IF(ISBLANK('Purchased Gases &amp; Refrigerants'!$M33),"",'Purchased Gases &amp; Refrigerants'!M33)</f>
        <v/>
      </c>
      <c r="AB88" s="292" t="str">
        <f>IF(ISBLANK('Purchased Gases &amp; Refrigerants'!N33),"",'Purchased Gases &amp; Refrigerants'!N33)</f>
        <v/>
      </c>
      <c r="AC88" s="293"/>
      <c r="AE88" s="289" t="str">
        <f>IF(ISBLANK('Purchased Gases &amp; Refrigerants'!O33),"",0.0129*'Purchased Gases &amp; Refrigerants'!O33*0.4536)</f>
        <v/>
      </c>
      <c r="AI88" s="144"/>
      <c r="AJ88" s="144"/>
      <c r="AK88" s="144"/>
      <c r="AL88" s="144"/>
      <c r="AM88" s="144"/>
      <c r="AN88" s="144"/>
      <c r="AP88" s="144"/>
      <c r="AQ88" s="144"/>
      <c r="AR88" s="144"/>
      <c r="AS88" s="144"/>
      <c r="AT88" s="144"/>
      <c r="AU88" s="144"/>
      <c r="AV88" s="144"/>
      <c r="AW88" s="144"/>
      <c r="AX88" s="182"/>
    </row>
    <row r="89" spans="1:50">
      <c r="A89" s="181"/>
      <c r="B89" s="144"/>
      <c r="C89" s="144"/>
      <c r="D89" s="144"/>
      <c r="E89" s="144"/>
      <c r="F89" s="144"/>
      <c r="G89" s="144"/>
      <c r="H89" s="144"/>
      <c r="I89" s="144"/>
      <c r="J89" s="144"/>
      <c r="K89" s="144"/>
      <c r="L89" s="144"/>
      <c r="M89" s="144"/>
      <c r="N89" s="144"/>
      <c r="O89" s="144"/>
      <c r="P89" s="144"/>
      <c r="Q89" s="144"/>
      <c r="R89" s="144"/>
      <c r="S89" s="144"/>
      <c r="T89" s="144"/>
      <c r="U89" s="144"/>
      <c r="V89" s="144"/>
      <c r="W89" s="144"/>
      <c r="X89" s="144"/>
      <c r="Y89" s="144"/>
      <c r="Z89" s="290" t="str">
        <f>IF(ISBLANK('Purchased Gases &amp; Refrigerants'!$M34),"",'Purchased Gases &amp; Refrigerants'!L34)</f>
        <v/>
      </c>
      <c r="AA89" s="290" t="str">
        <f>IF(ISBLANK('Purchased Gases &amp; Refrigerants'!$M34),"",'Purchased Gases &amp; Refrigerants'!M34)</f>
        <v/>
      </c>
      <c r="AB89" s="294" t="str">
        <f>IF(ISBLANK('Purchased Gases &amp; Refrigerants'!N34),"",'Purchased Gases &amp; Refrigerants'!N34)</f>
        <v/>
      </c>
      <c r="AC89" s="295"/>
      <c r="AE89" s="290" t="str">
        <f>IF(ISBLANK('Purchased Gases &amp; Refrigerants'!O34),"",0.0129*'Purchased Gases &amp; Refrigerants'!O34*0.4536)</f>
        <v/>
      </c>
      <c r="AI89" s="144"/>
      <c r="AJ89" s="144"/>
      <c r="AK89" s="144"/>
      <c r="AL89" s="144"/>
      <c r="AM89" s="144"/>
      <c r="AN89" s="144"/>
      <c r="AP89" s="144"/>
      <c r="AQ89" s="144"/>
      <c r="AR89" s="144"/>
      <c r="AS89" s="144"/>
      <c r="AT89" s="144"/>
      <c r="AU89" s="144"/>
      <c r="AV89" s="144"/>
      <c r="AW89" s="144"/>
      <c r="AX89" s="182"/>
    </row>
    <row r="90" spans="1:50">
      <c r="A90" s="181"/>
      <c r="B90" s="144"/>
      <c r="C90" s="144"/>
      <c r="D90" s="144"/>
      <c r="E90" s="144"/>
      <c r="F90" s="144"/>
      <c r="G90" s="144"/>
      <c r="H90" s="144"/>
      <c r="I90" s="144"/>
      <c r="J90" s="144"/>
      <c r="K90" s="144"/>
      <c r="L90" s="144"/>
      <c r="M90" s="144"/>
      <c r="N90" s="144"/>
      <c r="O90" s="144"/>
      <c r="P90" s="144"/>
      <c r="Q90" s="144"/>
      <c r="R90" s="144"/>
      <c r="S90" s="144"/>
      <c r="T90" s="144"/>
      <c r="U90" s="144"/>
      <c r="V90" s="144"/>
      <c r="W90" s="144"/>
      <c r="X90" s="144"/>
      <c r="Y90" s="144"/>
      <c r="Z90" s="289" t="str">
        <f>IF(ISBLANK('Purchased Gases &amp; Refrigerants'!$M35),"",'Purchased Gases &amp; Refrigerants'!L35)</f>
        <v/>
      </c>
      <c r="AA90" s="289" t="str">
        <f>IF(ISBLANK('Purchased Gases &amp; Refrigerants'!$M35),"",'Purchased Gases &amp; Refrigerants'!M35)</f>
        <v/>
      </c>
      <c r="AB90" s="292" t="str">
        <f>IF(ISBLANK('Purchased Gases &amp; Refrigerants'!N35),"",'Purchased Gases &amp; Refrigerants'!N35)</f>
        <v/>
      </c>
      <c r="AC90" s="293"/>
      <c r="AE90" s="289" t="str">
        <f>IF(ISBLANK('Purchased Gases &amp; Refrigerants'!O35),"",0.0129*'Purchased Gases &amp; Refrigerants'!O35*0.4536)</f>
        <v/>
      </c>
      <c r="AI90" s="144"/>
      <c r="AJ90" s="144"/>
      <c r="AK90" s="144"/>
      <c r="AL90" s="144"/>
      <c r="AM90" s="144"/>
      <c r="AN90" s="144"/>
      <c r="AP90" s="144"/>
      <c r="AQ90" s="144"/>
      <c r="AR90" s="144"/>
      <c r="AS90" s="144"/>
      <c r="AT90" s="144"/>
      <c r="AU90" s="144"/>
      <c r="AV90" s="144"/>
      <c r="AW90" s="144"/>
      <c r="AX90" s="182"/>
    </row>
    <row r="91" spans="1:50">
      <c r="A91" s="181"/>
      <c r="B91" s="144"/>
      <c r="C91" s="144"/>
      <c r="D91" s="144"/>
      <c r="E91" s="144"/>
      <c r="F91" s="144"/>
      <c r="G91" s="144"/>
      <c r="H91" s="144"/>
      <c r="I91" s="144"/>
      <c r="J91" s="144"/>
      <c r="K91" s="144"/>
      <c r="L91" s="144"/>
      <c r="M91" s="144"/>
      <c r="N91" s="144"/>
      <c r="O91" s="144"/>
      <c r="P91" s="144"/>
      <c r="Q91" s="144"/>
      <c r="R91" s="144"/>
      <c r="S91" s="144"/>
      <c r="T91" s="144"/>
      <c r="U91" s="144"/>
      <c r="V91" s="144"/>
      <c r="W91" s="144"/>
      <c r="X91" s="144"/>
      <c r="Y91" s="144"/>
      <c r="Z91" s="290" t="str">
        <f>IF(ISBLANK('Purchased Gases &amp; Refrigerants'!$M36),"",'Purchased Gases &amp; Refrigerants'!L36)</f>
        <v/>
      </c>
      <c r="AA91" s="290" t="str">
        <f>IF(ISBLANK('Purchased Gases &amp; Refrigerants'!$M36),"",'Purchased Gases &amp; Refrigerants'!M36)</f>
        <v/>
      </c>
      <c r="AB91" s="294" t="str">
        <f>IF(ISBLANK('Purchased Gases &amp; Refrigerants'!N36),"",'Purchased Gases &amp; Refrigerants'!N36)</f>
        <v/>
      </c>
      <c r="AC91" s="295"/>
      <c r="AE91" s="290" t="str">
        <f>IF(ISBLANK('Purchased Gases &amp; Refrigerants'!O36),"",0.0129*'Purchased Gases &amp; Refrigerants'!O36*0.4536)</f>
        <v/>
      </c>
      <c r="AI91" s="144"/>
      <c r="AJ91" s="144"/>
      <c r="AK91" s="144"/>
      <c r="AL91" s="144"/>
      <c r="AM91" s="144"/>
      <c r="AN91" s="144"/>
      <c r="AP91" s="144"/>
      <c r="AQ91" s="144"/>
      <c r="AR91" s="144"/>
      <c r="AS91" s="144"/>
      <c r="AT91" s="144"/>
      <c r="AU91" s="144"/>
      <c r="AV91" s="144"/>
      <c r="AW91" s="144"/>
      <c r="AX91" s="182"/>
    </row>
    <row r="92" spans="1:50">
      <c r="A92" s="181"/>
      <c r="B92" s="144"/>
      <c r="C92" s="144"/>
      <c r="D92" s="144"/>
      <c r="E92" s="144"/>
      <c r="F92" s="144"/>
      <c r="G92" s="144"/>
      <c r="H92" s="144"/>
      <c r="I92" s="144"/>
      <c r="J92" s="144"/>
      <c r="K92" s="144"/>
      <c r="L92" s="144"/>
      <c r="M92" s="144"/>
      <c r="N92" s="144"/>
      <c r="O92" s="144"/>
      <c r="P92" s="144"/>
      <c r="Q92" s="144"/>
      <c r="R92" s="144"/>
      <c r="S92" s="144"/>
      <c r="T92" s="144"/>
      <c r="U92" s="144"/>
      <c r="V92" s="144"/>
      <c r="W92" s="144"/>
      <c r="X92" s="144"/>
      <c r="Y92" s="144"/>
      <c r="Z92" s="289" t="str">
        <f>IF(ISBLANK('Purchased Gases &amp; Refrigerants'!$M37),"",'Purchased Gases &amp; Refrigerants'!L37)</f>
        <v/>
      </c>
      <c r="AA92" s="289" t="str">
        <f>IF(ISBLANK('Purchased Gases &amp; Refrigerants'!$M37),"",'Purchased Gases &amp; Refrigerants'!M37)</f>
        <v/>
      </c>
      <c r="AB92" s="292" t="str">
        <f>IF(ISBLANK('Purchased Gases &amp; Refrigerants'!N37),"",'Purchased Gases &amp; Refrigerants'!N37)</f>
        <v/>
      </c>
      <c r="AC92" s="293"/>
      <c r="AE92" s="289" t="str">
        <f>IF(ISBLANK('Purchased Gases &amp; Refrigerants'!O37),"",0.0129*'Purchased Gases &amp; Refrigerants'!O37*0.4536)</f>
        <v/>
      </c>
      <c r="AI92" s="144"/>
      <c r="AJ92" s="144"/>
      <c r="AK92" s="144"/>
      <c r="AL92" s="144"/>
      <c r="AM92" s="144"/>
      <c r="AN92" s="144"/>
      <c r="AP92" s="144"/>
      <c r="AQ92" s="144"/>
      <c r="AR92" s="144"/>
      <c r="AS92" s="144"/>
      <c r="AT92" s="144"/>
      <c r="AU92" s="144"/>
      <c r="AV92" s="144"/>
      <c r="AW92" s="144"/>
      <c r="AX92" s="182"/>
    </row>
    <row r="93" spans="1:50">
      <c r="A93" s="181"/>
      <c r="B93" s="144"/>
      <c r="C93" s="144"/>
      <c r="D93" s="144"/>
      <c r="E93" s="144"/>
      <c r="F93" s="144"/>
      <c r="G93" s="144"/>
      <c r="H93" s="144"/>
      <c r="I93" s="144"/>
      <c r="J93" s="144"/>
      <c r="K93" s="144"/>
      <c r="L93" s="144"/>
      <c r="M93" s="144"/>
      <c r="N93" s="144"/>
      <c r="O93" s="144"/>
      <c r="P93" s="144"/>
      <c r="Q93" s="144"/>
      <c r="R93" s="144"/>
      <c r="S93" s="144"/>
      <c r="T93" s="144"/>
      <c r="U93" s="144"/>
      <c r="V93" s="144"/>
      <c r="W93" s="144"/>
      <c r="X93" s="144"/>
      <c r="Y93" s="144"/>
      <c r="Z93" s="290" t="str">
        <f>IF(ISBLANK('Purchased Gases &amp; Refrigerants'!$M38),"",'Purchased Gases &amp; Refrigerants'!L38)</f>
        <v/>
      </c>
      <c r="AA93" s="290" t="str">
        <f>IF(ISBLANK('Purchased Gases &amp; Refrigerants'!$M38),"",'Purchased Gases &amp; Refrigerants'!M38)</f>
        <v/>
      </c>
      <c r="AB93" s="294" t="str">
        <f>IF(ISBLANK('Purchased Gases &amp; Refrigerants'!N38),"",'Purchased Gases &amp; Refrigerants'!N38)</f>
        <v/>
      </c>
      <c r="AC93" s="295"/>
      <c r="AE93" s="290" t="str">
        <f>IF(ISBLANK('Purchased Gases &amp; Refrigerants'!O38),"",0.0129*'Purchased Gases &amp; Refrigerants'!O38*0.4536)</f>
        <v/>
      </c>
      <c r="AI93" s="144"/>
      <c r="AJ93" s="144"/>
      <c r="AK93" s="144"/>
      <c r="AL93" s="144"/>
      <c r="AM93" s="144"/>
      <c r="AN93" s="144"/>
      <c r="AP93" s="144"/>
      <c r="AQ93" s="144"/>
      <c r="AR93" s="144"/>
      <c r="AS93" s="144"/>
      <c r="AT93" s="144"/>
      <c r="AU93" s="144"/>
      <c r="AV93" s="144"/>
      <c r="AW93" s="144"/>
      <c r="AX93" s="182"/>
    </row>
    <row r="94" spans="1:50">
      <c r="A94" s="181"/>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289" t="str">
        <f>IF(ISBLANK('Purchased Gases &amp; Refrigerants'!$M39),"",'Purchased Gases &amp; Refrigerants'!L39)</f>
        <v/>
      </c>
      <c r="AA94" s="289" t="str">
        <f>IF(ISBLANK('Purchased Gases &amp; Refrigerants'!$M39),"",'Purchased Gases &amp; Refrigerants'!M39)</f>
        <v/>
      </c>
      <c r="AB94" s="292" t="str">
        <f>IF(ISBLANK('Purchased Gases &amp; Refrigerants'!N39),"",'Purchased Gases &amp; Refrigerants'!N39)</f>
        <v/>
      </c>
      <c r="AC94" s="293"/>
      <c r="AE94" s="289" t="str">
        <f>IF(ISBLANK('Purchased Gases &amp; Refrigerants'!O39),"",0.0129*'Purchased Gases &amp; Refrigerants'!O39*0.4536)</f>
        <v/>
      </c>
      <c r="AI94" s="144"/>
      <c r="AJ94" s="144"/>
      <c r="AK94" s="144"/>
      <c r="AL94" s="144"/>
      <c r="AM94" s="144"/>
      <c r="AN94" s="144"/>
      <c r="AP94" s="144"/>
      <c r="AQ94" s="144"/>
      <c r="AR94" s="144"/>
      <c r="AS94" s="144"/>
      <c r="AT94" s="144"/>
      <c r="AU94" s="144"/>
      <c r="AV94" s="144"/>
      <c r="AW94" s="144"/>
      <c r="AX94" s="182"/>
    </row>
    <row r="95" spans="1:50">
      <c r="A95" s="181"/>
      <c r="B95" s="144"/>
      <c r="C95" s="144"/>
      <c r="D95" s="144"/>
      <c r="E95" s="144"/>
      <c r="F95" s="144"/>
      <c r="G95" s="144"/>
      <c r="H95" s="144"/>
      <c r="I95" s="144"/>
      <c r="J95" s="144"/>
      <c r="K95" s="144"/>
      <c r="L95" s="144"/>
      <c r="M95" s="144"/>
      <c r="N95" s="144"/>
      <c r="O95" s="144"/>
      <c r="P95" s="144"/>
      <c r="Q95" s="144"/>
      <c r="R95" s="144"/>
      <c r="S95" s="144"/>
      <c r="T95" s="144"/>
      <c r="U95" s="144"/>
      <c r="V95" s="144"/>
      <c r="W95" s="144"/>
      <c r="X95" s="144"/>
      <c r="Y95" s="144"/>
      <c r="Z95" s="290" t="str">
        <f>IF(ISBLANK('Purchased Gases &amp; Refrigerants'!$M40),"",'Purchased Gases &amp; Refrigerants'!L40)</f>
        <v/>
      </c>
      <c r="AA95" s="290" t="str">
        <f>IF(ISBLANK('Purchased Gases &amp; Refrigerants'!$M40),"",'Purchased Gases &amp; Refrigerants'!M40)</f>
        <v/>
      </c>
      <c r="AB95" s="294" t="str">
        <f>IF(ISBLANK('Purchased Gases &amp; Refrigerants'!N40),"",'Purchased Gases &amp; Refrigerants'!N40)</f>
        <v/>
      </c>
      <c r="AC95" s="295"/>
      <c r="AE95" s="290" t="str">
        <f>IF(ISBLANK('Purchased Gases &amp; Refrigerants'!O40),"",0.0129*'Purchased Gases &amp; Refrigerants'!O40*0.4536)</f>
        <v/>
      </c>
      <c r="AI95" s="144"/>
      <c r="AJ95" s="144"/>
      <c r="AK95" s="144"/>
      <c r="AL95" s="144"/>
      <c r="AM95" s="144"/>
      <c r="AN95" s="144"/>
      <c r="AP95" s="144"/>
      <c r="AQ95" s="144"/>
      <c r="AR95" s="144"/>
      <c r="AS95" s="144"/>
      <c r="AT95" s="144"/>
      <c r="AU95" s="144"/>
      <c r="AV95" s="144"/>
      <c r="AW95" s="144"/>
      <c r="AX95" s="182"/>
    </row>
    <row r="96" spans="1:50">
      <c r="A96" s="181"/>
      <c r="B96" s="144"/>
      <c r="C96" s="144"/>
      <c r="D96" s="144"/>
      <c r="E96" s="144"/>
      <c r="F96" s="144"/>
      <c r="G96" s="144"/>
      <c r="H96" s="144"/>
      <c r="I96" s="144"/>
      <c r="J96" s="144"/>
      <c r="K96" s="144"/>
      <c r="L96" s="144"/>
      <c r="M96" s="144"/>
      <c r="N96" s="144"/>
      <c r="O96" s="144"/>
      <c r="P96" s="144"/>
      <c r="Q96" s="144"/>
      <c r="R96" s="144"/>
      <c r="S96" s="144"/>
      <c r="T96" s="144"/>
      <c r="U96" s="144"/>
      <c r="V96" s="144"/>
      <c r="W96" s="144"/>
      <c r="X96" s="144"/>
      <c r="Y96" s="144"/>
      <c r="Z96" s="289" t="str">
        <f>IF(ISBLANK('Purchased Gases &amp; Refrigerants'!$M41),"",'Purchased Gases &amp; Refrigerants'!L41)</f>
        <v/>
      </c>
      <c r="AA96" s="289" t="str">
        <f>IF(ISBLANK('Purchased Gases &amp; Refrigerants'!$M41),"",'Purchased Gases &amp; Refrigerants'!M41)</f>
        <v/>
      </c>
      <c r="AB96" s="292" t="str">
        <f>IF(ISBLANK('Purchased Gases &amp; Refrigerants'!N41),"",'Purchased Gases &amp; Refrigerants'!N41)</f>
        <v/>
      </c>
      <c r="AC96" s="293"/>
      <c r="AE96" s="289" t="str">
        <f>IF(ISBLANK('Purchased Gases &amp; Refrigerants'!O41),"",0.0129*'Purchased Gases &amp; Refrigerants'!O41*0.4536)</f>
        <v/>
      </c>
      <c r="AF96" s="144"/>
      <c r="AG96" s="144"/>
      <c r="AI96" s="144"/>
      <c r="AJ96" s="144"/>
      <c r="AK96" s="144"/>
      <c r="AL96" s="144"/>
      <c r="AM96" s="144"/>
      <c r="AN96" s="144"/>
      <c r="AP96" s="144"/>
      <c r="AQ96" s="144"/>
      <c r="AR96" s="144"/>
      <c r="AS96" s="144"/>
      <c r="AT96" s="144"/>
      <c r="AU96" s="144"/>
      <c r="AV96" s="144"/>
      <c r="AW96" s="144"/>
      <c r="AX96" s="182"/>
    </row>
    <row r="97" spans="1:50">
      <c r="A97" s="181"/>
      <c r="B97" s="144"/>
      <c r="C97" s="144"/>
      <c r="D97" s="144"/>
      <c r="E97" s="144"/>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E97" s="291">
        <f>IF(ISBLANK('Purchased Gases &amp; Refrigerants'!M15),"",SUM(Results!AE70:AE96))</f>
        <v>0</v>
      </c>
      <c r="AF97" s="144"/>
      <c r="AG97" s="144"/>
      <c r="AH97" s="144"/>
      <c r="AI97" s="144"/>
      <c r="AJ97" s="144"/>
      <c r="AK97" s="144"/>
      <c r="AL97" s="144"/>
      <c r="AM97" s="144"/>
      <c r="AN97" s="144"/>
      <c r="AO97" s="144"/>
      <c r="AP97" s="144"/>
      <c r="AQ97" s="144"/>
      <c r="AR97" s="144"/>
      <c r="AS97" s="144"/>
      <c r="AT97" s="144"/>
      <c r="AU97" s="144"/>
      <c r="AV97" s="144"/>
      <c r="AW97" s="144"/>
      <c r="AX97" s="182"/>
    </row>
    <row r="98" spans="1:50">
      <c r="A98" s="181"/>
      <c r="B98" s="144"/>
      <c r="C98" s="144"/>
      <c r="D98" s="144"/>
      <c r="E98" s="144"/>
      <c r="F98" s="144"/>
      <c r="G98" s="144"/>
      <c r="H98" s="144"/>
      <c r="I98" s="144"/>
      <c r="J98" s="144"/>
      <c r="K98" s="144"/>
      <c r="L98" s="144"/>
      <c r="M98" s="144"/>
      <c r="N98" s="144"/>
      <c r="O98" s="144"/>
      <c r="P98" s="144"/>
      <c r="Q98" s="144"/>
      <c r="R98" s="144"/>
      <c r="S98" s="144"/>
      <c r="T98" s="144"/>
      <c r="U98" s="144"/>
      <c r="V98" s="144"/>
      <c r="W98" s="144"/>
      <c r="X98" s="144"/>
      <c r="Y98" s="144"/>
      <c r="AX98" s="182"/>
    </row>
    <row r="99" spans="1:50">
      <c r="A99" s="181"/>
      <c r="B99" s="144"/>
      <c r="C99" s="144"/>
      <c r="D99" s="144"/>
      <c r="E99" s="144"/>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82"/>
    </row>
    <row r="100" spans="1:50" ht="16" thickBot="1">
      <c r="A100" s="183"/>
      <c r="B100" s="184"/>
      <c r="C100" s="184"/>
      <c r="D100" s="184"/>
      <c r="E100" s="184"/>
      <c r="F100" s="184"/>
      <c r="G100" s="184"/>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c r="AD100" s="184"/>
      <c r="AE100" s="184"/>
      <c r="AF100" s="184"/>
      <c r="AG100" s="184"/>
      <c r="AH100" s="184"/>
      <c r="AI100" s="184"/>
      <c r="AJ100" s="184"/>
      <c r="AK100" s="184"/>
      <c r="AL100" s="184"/>
      <c r="AM100" s="184"/>
      <c r="AN100" s="184"/>
      <c r="AO100" s="184"/>
      <c r="AP100" s="184"/>
      <c r="AQ100" s="184"/>
      <c r="AR100" s="184"/>
      <c r="AS100" s="184"/>
      <c r="AT100" s="184"/>
      <c r="AU100" s="184"/>
      <c r="AV100" s="184"/>
      <c r="AW100" s="184"/>
      <c r="AX100" s="185"/>
    </row>
  </sheetData>
  <sheetProtection algorithmName="SHA-512" hashValue="MDEkbKeUdlUqSdOtQ832DqwNbpRgcZBCl/V6oKR5xsx672FL0aD08qdVRDNS9/X57hgHq6oUmkAM8Z5guzeLyQ==" saltValue="UtznVesnVcc3vrvc5erKtg==" spinCount="100000" sheet="1" objects="1" scenarios="1"/>
  <mergeCells count="10">
    <mergeCell ref="AT3:AW3"/>
    <mergeCell ref="Z68:AA68"/>
    <mergeCell ref="B3:H3"/>
    <mergeCell ref="J3:P3"/>
    <mergeCell ref="R3:X3"/>
    <mergeCell ref="AE3:AH3"/>
    <mergeCell ref="AO3:AR3"/>
    <mergeCell ref="Z3:AC3"/>
    <mergeCell ref="AJ3:AM3"/>
    <mergeCell ref="AJ4:AM4"/>
  </mergeCell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77EA3-63BC-4E48-8E17-6847841C7F2C}">
  <sheetPr codeName="Sheet13">
    <tabColor theme="0" tint="-0.249977111117893"/>
  </sheetPr>
  <dimension ref="A1:AE204"/>
  <sheetViews>
    <sheetView workbookViewId="0">
      <selection activeCell="A20" sqref="A20:K20"/>
    </sheetView>
  </sheetViews>
  <sheetFormatPr baseColWidth="10" defaultColWidth="0" defaultRowHeight="13" zeroHeight="1"/>
  <cols>
    <col min="1" max="1" width="9" style="200" customWidth="1"/>
    <col min="2" max="2" width="30.5" style="250" customWidth="1"/>
    <col min="3" max="3" width="23.83203125" style="250" customWidth="1"/>
    <col min="4" max="4" width="23.5" style="250" customWidth="1"/>
    <col min="5" max="5" width="25.6640625" style="250" customWidth="1"/>
    <col min="6" max="6" width="9" style="200" customWidth="1"/>
    <col min="7" max="31" width="0" style="200" hidden="1" customWidth="1"/>
    <col min="32" max="16384" width="8" style="200" hidden="1"/>
  </cols>
  <sheetData>
    <row r="1" spans="1:31">
      <c r="A1" s="201"/>
      <c r="B1" s="252"/>
      <c r="C1" s="252"/>
      <c r="D1" s="252"/>
      <c r="E1" s="252"/>
      <c r="F1" s="201"/>
    </row>
    <row r="2" spans="1:31" ht="18" thickBot="1">
      <c r="A2" s="201"/>
      <c r="B2" s="200"/>
      <c r="C2" s="449" t="s">
        <v>434</v>
      </c>
      <c r="D2" s="449"/>
      <c r="E2"/>
      <c r="F2" s="201"/>
    </row>
    <row r="3" spans="1:31" s="202" customFormat="1" ht="15" customHeight="1" thickTop="1">
      <c r="A3" s="203"/>
      <c r="B3" s="237"/>
      <c r="C3" s="237"/>
      <c r="D3" s="237"/>
      <c r="E3" s="237"/>
      <c r="F3" s="201"/>
      <c r="G3" s="201"/>
      <c r="H3" s="201"/>
      <c r="I3" s="201"/>
      <c r="J3" s="201"/>
      <c r="K3" s="203"/>
      <c r="L3" s="203"/>
      <c r="M3" s="203"/>
      <c r="N3" s="203"/>
      <c r="O3" s="203"/>
      <c r="P3" s="203"/>
      <c r="Q3" s="203"/>
      <c r="R3" s="203"/>
      <c r="S3" s="203"/>
      <c r="T3" s="203"/>
      <c r="U3" s="203"/>
      <c r="V3" s="203"/>
      <c r="W3" s="203"/>
      <c r="X3" s="203"/>
      <c r="Y3" s="203"/>
      <c r="Z3" s="203"/>
      <c r="AA3" s="203"/>
      <c r="AB3" s="203"/>
      <c r="AC3" s="203"/>
      <c r="AD3" s="203"/>
      <c r="AE3" s="203"/>
    </row>
    <row r="4" spans="1:31" s="202" customFormat="1" ht="15" customHeight="1" thickBot="1">
      <c r="A4" s="203"/>
      <c r="B4" s="237"/>
      <c r="C4" s="237"/>
      <c r="D4" s="237"/>
      <c r="E4" s="237"/>
      <c r="F4" s="201"/>
      <c r="G4" s="201"/>
      <c r="H4" s="201"/>
      <c r="I4" s="201"/>
      <c r="J4" s="201"/>
      <c r="K4" s="203"/>
      <c r="L4" s="203"/>
      <c r="M4" s="203"/>
      <c r="N4" s="203"/>
      <c r="O4" s="203"/>
      <c r="P4" s="203"/>
      <c r="Q4" s="203"/>
      <c r="R4" s="203"/>
      <c r="S4" s="203"/>
      <c r="T4" s="203"/>
      <c r="U4" s="203"/>
      <c r="V4" s="203"/>
      <c r="W4" s="203"/>
      <c r="X4" s="203"/>
      <c r="Y4" s="203"/>
      <c r="Z4" s="203"/>
      <c r="AA4" s="203"/>
      <c r="AB4" s="203"/>
      <c r="AC4" s="203"/>
      <c r="AD4" s="203"/>
      <c r="AE4" s="203"/>
    </row>
    <row r="5" spans="1:31" ht="15" customHeight="1" thickBot="1">
      <c r="A5" s="201"/>
      <c r="B5" s="447" t="s">
        <v>435</v>
      </c>
      <c r="C5" s="450"/>
      <c r="D5" s="450"/>
      <c r="E5" s="448"/>
      <c r="F5" s="201"/>
      <c r="G5" s="201"/>
      <c r="H5" s="201"/>
      <c r="I5" s="201"/>
      <c r="J5" s="201"/>
      <c r="K5" s="201"/>
      <c r="L5" s="201"/>
      <c r="M5" s="201"/>
      <c r="N5" s="201"/>
      <c r="O5" s="201"/>
      <c r="P5" s="201"/>
      <c r="Q5" s="201"/>
      <c r="R5" s="201"/>
      <c r="S5" s="201"/>
      <c r="T5" s="201"/>
      <c r="U5" s="201"/>
      <c r="V5" s="201"/>
      <c r="W5" s="201"/>
      <c r="X5" s="201"/>
      <c r="Y5" s="201"/>
      <c r="Z5" s="201"/>
      <c r="AA5" s="201"/>
      <c r="AB5" s="201"/>
      <c r="AC5" s="201"/>
      <c r="AD5" s="201"/>
      <c r="AE5" s="201"/>
    </row>
    <row r="6" spans="1:31" s="236" customFormat="1" ht="15" customHeight="1" thickBot="1">
      <c r="A6" s="235"/>
      <c r="B6" s="253" t="s">
        <v>436</v>
      </c>
      <c r="C6" s="238" t="s">
        <v>437</v>
      </c>
      <c r="D6" s="238" t="s">
        <v>438</v>
      </c>
      <c r="E6" s="254" t="s">
        <v>50</v>
      </c>
      <c r="F6" s="235"/>
      <c r="G6" s="235"/>
      <c r="H6" s="235"/>
      <c r="I6" s="235"/>
      <c r="J6" s="235"/>
      <c r="K6" s="235"/>
      <c r="L6" s="235"/>
      <c r="M6" s="235"/>
      <c r="N6" s="235"/>
      <c r="O6" s="235"/>
      <c r="P6" s="235"/>
      <c r="Q6" s="235"/>
      <c r="R6" s="235"/>
      <c r="S6" s="235"/>
      <c r="T6" s="235"/>
      <c r="U6" s="235"/>
      <c r="V6" s="235"/>
      <c r="W6" s="235"/>
      <c r="X6" s="235"/>
      <c r="Y6" s="235"/>
      <c r="Z6" s="235"/>
      <c r="AA6" s="235"/>
      <c r="AB6" s="235"/>
      <c r="AC6" s="235"/>
      <c r="AD6" s="235"/>
      <c r="AE6" s="235"/>
    </row>
    <row r="7" spans="1:31" ht="15" customHeight="1">
      <c r="A7" s="201"/>
      <c r="B7" s="255" t="s">
        <v>439</v>
      </c>
      <c r="C7" s="256" t="s">
        <v>440</v>
      </c>
      <c r="D7" s="257">
        <v>453.6</v>
      </c>
      <c r="E7" s="258" t="s">
        <v>441</v>
      </c>
      <c r="F7" s="201"/>
      <c r="G7" s="201"/>
      <c r="H7" s="201"/>
      <c r="I7" s="201"/>
      <c r="J7" s="201"/>
      <c r="K7" s="201"/>
      <c r="L7" s="201"/>
      <c r="M7" s="201"/>
      <c r="N7" s="201"/>
      <c r="O7" s="201"/>
      <c r="P7" s="201"/>
      <c r="Q7" s="201"/>
      <c r="R7" s="201"/>
      <c r="S7" s="201"/>
      <c r="T7" s="201"/>
      <c r="U7" s="201"/>
      <c r="V7" s="201"/>
      <c r="W7" s="201"/>
      <c r="X7" s="201"/>
      <c r="Y7" s="201"/>
      <c r="Z7" s="201"/>
      <c r="AA7" s="201"/>
      <c r="AB7" s="201"/>
      <c r="AC7" s="201"/>
      <c r="AD7" s="201"/>
      <c r="AE7" s="201"/>
    </row>
    <row r="8" spans="1:31" ht="15" customHeight="1">
      <c r="A8" s="201"/>
      <c r="B8" s="259" t="s">
        <v>439</v>
      </c>
      <c r="C8" s="239" t="s">
        <v>442</v>
      </c>
      <c r="D8" s="240">
        <v>0.4536</v>
      </c>
      <c r="E8" s="260" t="s">
        <v>443</v>
      </c>
      <c r="F8" s="201"/>
      <c r="G8" s="201"/>
      <c r="H8" s="201"/>
      <c r="I8" s="201"/>
      <c r="J8" s="201"/>
      <c r="K8" s="201"/>
      <c r="L8" s="201"/>
      <c r="M8" s="201"/>
      <c r="N8" s="201"/>
      <c r="O8" s="201"/>
      <c r="P8" s="201"/>
      <c r="Q8" s="201"/>
      <c r="R8" s="201"/>
      <c r="S8" s="201"/>
      <c r="T8" s="201"/>
      <c r="U8" s="201"/>
      <c r="V8" s="201"/>
      <c r="W8" s="201"/>
      <c r="X8" s="201"/>
      <c r="Y8" s="201"/>
      <c r="Z8" s="201"/>
      <c r="AA8" s="201"/>
      <c r="AB8" s="201"/>
      <c r="AC8" s="201"/>
      <c r="AD8" s="201"/>
      <c r="AE8" s="201"/>
    </row>
    <row r="9" spans="1:31" ht="15" customHeight="1">
      <c r="A9" s="201"/>
      <c r="B9" s="259" t="s">
        <v>439</v>
      </c>
      <c r="C9" s="241" t="s">
        <v>419</v>
      </c>
      <c r="D9" s="240">
        <v>4.5360000000000002E-4</v>
      </c>
      <c r="E9" s="260" t="s">
        <v>444</v>
      </c>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row>
    <row r="10" spans="1:31" ht="15" customHeight="1">
      <c r="A10" s="201"/>
      <c r="B10" s="261" t="s">
        <v>442</v>
      </c>
      <c r="C10" s="239" t="s">
        <v>439</v>
      </c>
      <c r="D10" s="243">
        <v>2.2050000000000001</v>
      </c>
      <c r="E10" s="260" t="s">
        <v>445</v>
      </c>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1" ht="15" customHeight="1">
      <c r="A11" s="201"/>
      <c r="B11" s="259" t="s">
        <v>440</v>
      </c>
      <c r="C11" s="242" t="s">
        <v>446</v>
      </c>
      <c r="D11" s="244">
        <f>D12/1000</f>
        <v>1.1020000000000002E-6</v>
      </c>
      <c r="E11" s="260" t="s">
        <v>447</v>
      </c>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row>
    <row r="12" spans="1:31" ht="15" customHeight="1">
      <c r="A12" s="201"/>
      <c r="B12" s="259" t="s">
        <v>442</v>
      </c>
      <c r="C12" s="242" t="s">
        <v>446</v>
      </c>
      <c r="D12" s="244">
        <f>D13/1000</f>
        <v>1.1020000000000001E-3</v>
      </c>
      <c r="E12" s="262" t="s">
        <v>448</v>
      </c>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row>
    <row r="13" spans="1:31" ht="15" customHeight="1">
      <c r="A13" s="201"/>
      <c r="B13" s="263" t="s">
        <v>419</v>
      </c>
      <c r="C13" s="242" t="s">
        <v>446</v>
      </c>
      <c r="D13" s="245">
        <v>1.1020000000000001</v>
      </c>
      <c r="E13" s="260" t="s">
        <v>449</v>
      </c>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row>
    <row r="14" spans="1:31" ht="15" customHeight="1">
      <c r="A14" s="201"/>
      <c r="B14" s="259" t="s">
        <v>439</v>
      </c>
      <c r="C14" s="242" t="s">
        <v>446</v>
      </c>
      <c r="D14" s="246">
        <f>1/2000</f>
        <v>5.0000000000000001E-4</v>
      </c>
      <c r="E14" s="260" t="s">
        <v>450</v>
      </c>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1" ht="15" customHeight="1">
      <c r="A15" s="201"/>
      <c r="B15" s="261" t="s">
        <v>446</v>
      </c>
      <c r="C15" s="242" t="s">
        <v>446</v>
      </c>
      <c r="D15" s="247">
        <v>1</v>
      </c>
      <c r="E15" s="260" t="s">
        <v>451</v>
      </c>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row>
    <row r="16" spans="1:31" ht="15" customHeight="1">
      <c r="A16" s="201"/>
      <c r="B16" s="261" t="s">
        <v>419</v>
      </c>
      <c r="C16" s="239" t="s">
        <v>439</v>
      </c>
      <c r="D16" s="248">
        <v>2205</v>
      </c>
      <c r="E16" s="260" t="s">
        <v>452</v>
      </c>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row>
    <row r="17" spans="1:31" ht="15" customHeight="1" thickBot="1">
      <c r="A17" s="201"/>
      <c r="B17" s="264" t="s">
        <v>419</v>
      </c>
      <c r="C17" s="265" t="s">
        <v>442</v>
      </c>
      <c r="D17" s="266">
        <v>1000</v>
      </c>
      <c r="E17" s="267" t="s">
        <v>453</v>
      </c>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row>
    <row r="18" spans="1:31" ht="15" customHeight="1" thickBot="1">
      <c r="A18" s="201"/>
      <c r="B18" s="237"/>
      <c r="C18" s="249"/>
      <c r="D18" s="249"/>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1" ht="15" customHeight="1" thickBot="1">
      <c r="A19" s="201"/>
      <c r="B19" s="447" t="s">
        <v>454</v>
      </c>
      <c r="C19" s="450"/>
      <c r="D19" s="450"/>
      <c r="E19" s="448"/>
      <c r="F19" s="201"/>
      <c r="G19" s="201"/>
      <c r="H19" s="201"/>
      <c r="I19" s="201"/>
      <c r="J19" s="201"/>
      <c r="K19" s="201"/>
      <c r="L19" s="201"/>
      <c r="M19" s="201"/>
      <c r="N19" s="201"/>
      <c r="O19" s="201"/>
      <c r="P19" s="201"/>
      <c r="Q19" s="201"/>
      <c r="R19" s="201"/>
      <c r="S19" s="201"/>
      <c r="T19" s="201"/>
      <c r="U19" s="201"/>
      <c r="V19" s="201"/>
      <c r="W19" s="201"/>
      <c r="X19" s="201"/>
      <c r="Y19" s="201"/>
      <c r="Z19" s="201"/>
      <c r="AA19" s="201"/>
      <c r="AB19" s="201"/>
      <c r="AC19" s="201"/>
      <c r="AD19" s="201"/>
      <c r="AE19" s="201"/>
    </row>
    <row r="20" spans="1:31" ht="15" customHeight="1" thickBot="1">
      <c r="A20" s="201"/>
      <c r="B20" s="253" t="s">
        <v>436</v>
      </c>
      <c r="C20" s="238" t="s">
        <v>437</v>
      </c>
      <c r="D20" s="238" t="s">
        <v>438</v>
      </c>
      <c r="E20" s="254" t="s">
        <v>50</v>
      </c>
      <c r="F20" s="201"/>
      <c r="G20" s="201"/>
      <c r="H20" s="201"/>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row>
    <row r="21" spans="1:31" ht="15" customHeight="1">
      <c r="A21" s="201"/>
      <c r="B21" s="268" t="s">
        <v>455</v>
      </c>
      <c r="C21" s="269" t="s">
        <v>456</v>
      </c>
      <c r="D21" s="257">
        <v>7.4805000000000001</v>
      </c>
      <c r="E21" s="270" t="s">
        <v>457</v>
      </c>
      <c r="F21" s="201"/>
      <c r="G21" s="201"/>
      <c r="H21" s="201"/>
      <c r="I21" s="201"/>
      <c r="J21" s="201"/>
      <c r="K21" s="201"/>
      <c r="L21" s="201"/>
      <c r="M21" s="201"/>
      <c r="N21" s="201"/>
      <c r="O21" s="201"/>
      <c r="P21" s="201"/>
      <c r="Q21" s="201"/>
      <c r="R21" s="201"/>
      <c r="S21" s="201"/>
      <c r="T21" s="201"/>
      <c r="U21" s="201"/>
      <c r="V21" s="201"/>
      <c r="W21" s="201"/>
      <c r="X21" s="201"/>
      <c r="Y21" s="201"/>
      <c r="Z21" s="201"/>
      <c r="AA21" s="201"/>
      <c r="AB21" s="201"/>
      <c r="AC21" s="201"/>
      <c r="AD21" s="201"/>
      <c r="AE21" s="201"/>
    </row>
    <row r="22" spans="1:31" ht="15" customHeight="1">
      <c r="A22" s="201"/>
      <c r="B22" s="271" t="s">
        <v>455</v>
      </c>
      <c r="C22" s="251" t="s">
        <v>458</v>
      </c>
      <c r="D22" s="243">
        <v>0.17810000000000001</v>
      </c>
      <c r="E22" s="272" t="s">
        <v>459</v>
      </c>
      <c r="F22" s="201"/>
      <c r="G22" s="201"/>
      <c r="H22" s="201"/>
      <c r="I22" s="201"/>
      <c r="J22" s="201"/>
      <c r="K22" s="201"/>
      <c r="L22" s="201"/>
      <c r="M22" s="201"/>
      <c r="N22" s="201"/>
      <c r="O22" s="201"/>
      <c r="P22" s="201"/>
      <c r="Q22" s="201"/>
      <c r="R22" s="201"/>
      <c r="S22" s="201"/>
      <c r="T22" s="201"/>
      <c r="U22" s="201"/>
      <c r="V22" s="201"/>
      <c r="W22" s="201"/>
      <c r="X22" s="201"/>
      <c r="Y22" s="201"/>
      <c r="Z22" s="201"/>
      <c r="AA22" s="201"/>
      <c r="AB22" s="201"/>
      <c r="AC22" s="201"/>
      <c r="AD22" s="201"/>
      <c r="AE22" s="201"/>
    </row>
    <row r="23" spans="1:31" ht="15" customHeight="1">
      <c r="A23" s="201"/>
      <c r="B23" s="271" t="s">
        <v>455</v>
      </c>
      <c r="C23" s="251" t="s">
        <v>460</v>
      </c>
      <c r="D23" s="243">
        <v>28.32</v>
      </c>
      <c r="E23" s="272" t="s">
        <v>461</v>
      </c>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row>
    <row r="24" spans="1:31" ht="15" customHeight="1">
      <c r="A24" s="201"/>
      <c r="B24" s="271" t="s">
        <v>455</v>
      </c>
      <c r="C24" s="251" t="s">
        <v>462</v>
      </c>
      <c r="D24" s="243">
        <v>2.8320000000000001E-2</v>
      </c>
      <c r="E24" s="272" t="s">
        <v>463</v>
      </c>
      <c r="F24" s="201"/>
      <c r="G24" s="201"/>
      <c r="H24" s="201"/>
      <c r="I24" s="201"/>
      <c r="J24" s="201"/>
      <c r="K24" s="201"/>
      <c r="L24" s="201"/>
      <c r="M24" s="201"/>
      <c r="N24" s="201"/>
      <c r="O24" s="201"/>
      <c r="P24" s="201"/>
      <c r="Q24" s="201"/>
      <c r="R24" s="201"/>
      <c r="S24" s="201"/>
      <c r="T24" s="201"/>
      <c r="U24" s="201"/>
      <c r="V24" s="201"/>
      <c r="W24" s="201"/>
      <c r="X24" s="201"/>
      <c r="Y24" s="201"/>
      <c r="Z24" s="201"/>
      <c r="AA24" s="201"/>
      <c r="AB24" s="201"/>
      <c r="AC24" s="201"/>
      <c r="AD24" s="201"/>
      <c r="AE24" s="201"/>
    </row>
    <row r="25" spans="1:31" ht="15" customHeight="1">
      <c r="A25" s="201"/>
      <c r="B25" s="273" t="s">
        <v>456</v>
      </c>
      <c r="C25" s="251" t="s">
        <v>458</v>
      </c>
      <c r="D25" s="243">
        <v>2.3800000000000002E-2</v>
      </c>
      <c r="E25" s="272" t="s">
        <v>464</v>
      </c>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row>
    <row r="26" spans="1:31" ht="15" customHeight="1">
      <c r="A26" s="201"/>
      <c r="B26" s="273" t="s">
        <v>456</v>
      </c>
      <c r="C26" s="251" t="s">
        <v>460</v>
      </c>
      <c r="D26" s="243">
        <v>3.7850000000000001</v>
      </c>
      <c r="E26" s="272" t="s">
        <v>465</v>
      </c>
      <c r="F26" s="201"/>
      <c r="G26" s="201"/>
      <c r="H26" s="201"/>
      <c r="I26" s="201"/>
      <c r="J26" s="201"/>
      <c r="K26" s="201"/>
      <c r="L26" s="201"/>
      <c r="M26" s="201"/>
      <c r="N26" s="201"/>
      <c r="O26" s="201"/>
      <c r="P26" s="201"/>
      <c r="Q26" s="201"/>
      <c r="R26" s="201"/>
      <c r="S26" s="201"/>
      <c r="T26" s="201"/>
      <c r="U26" s="201"/>
      <c r="V26" s="201"/>
      <c r="W26" s="201"/>
      <c r="X26" s="201"/>
      <c r="Y26" s="201"/>
      <c r="Z26" s="201"/>
      <c r="AA26" s="201"/>
      <c r="AB26" s="201"/>
      <c r="AC26" s="201"/>
      <c r="AD26" s="201"/>
      <c r="AE26" s="201"/>
    </row>
    <row r="27" spans="1:31" ht="15" customHeight="1">
      <c r="A27" s="201"/>
      <c r="B27" s="273" t="s">
        <v>456</v>
      </c>
      <c r="C27" s="251" t="s">
        <v>462</v>
      </c>
      <c r="D27" s="243">
        <v>3.7850000000000002E-3</v>
      </c>
      <c r="E27" s="272" t="s">
        <v>466</v>
      </c>
      <c r="F27" s="201"/>
      <c r="G27" s="201"/>
      <c r="H27" s="201"/>
      <c r="I27" s="201"/>
      <c r="J27" s="201"/>
      <c r="K27" s="201"/>
      <c r="L27" s="201"/>
      <c r="M27" s="201"/>
      <c r="N27" s="201"/>
      <c r="O27" s="201"/>
      <c r="P27" s="201"/>
      <c r="Q27" s="201"/>
      <c r="R27" s="201"/>
      <c r="S27" s="201"/>
      <c r="T27" s="201"/>
      <c r="U27" s="201"/>
      <c r="V27" s="201"/>
      <c r="W27" s="201"/>
      <c r="X27" s="201"/>
      <c r="Y27" s="201"/>
      <c r="Z27" s="201"/>
      <c r="AA27" s="201"/>
      <c r="AB27" s="201"/>
      <c r="AC27" s="201"/>
      <c r="AD27" s="201"/>
      <c r="AE27" s="201"/>
    </row>
    <row r="28" spans="1:31" ht="15" customHeight="1">
      <c r="A28" s="201"/>
      <c r="B28" s="273" t="s">
        <v>458</v>
      </c>
      <c r="C28" s="251" t="s">
        <v>467</v>
      </c>
      <c r="D28" s="243">
        <v>42</v>
      </c>
      <c r="E28" s="272" t="s">
        <v>468</v>
      </c>
      <c r="F28" s="201"/>
      <c r="G28" s="201"/>
      <c r="H28" s="201"/>
      <c r="I28" s="201"/>
      <c r="J28" s="201"/>
      <c r="K28" s="201"/>
      <c r="L28" s="201"/>
      <c r="M28" s="201"/>
      <c r="N28" s="201"/>
      <c r="O28" s="201"/>
      <c r="P28" s="201"/>
      <c r="Q28" s="201"/>
      <c r="R28" s="201"/>
      <c r="S28" s="201"/>
      <c r="T28" s="201"/>
      <c r="U28" s="201"/>
      <c r="V28" s="201"/>
      <c r="W28" s="201"/>
      <c r="X28" s="201"/>
      <c r="Y28" s="201"/>
      <c r="Z28" s="201"/>
      <c r="AA28" s="201"/>
      <c r="AB28" s="201"/>
      <c r="AC28" s="201"/>
      <c r="AD28" s="201"/>
      <c r="AE28" s="201"/>
    </row>
    <row r="29" spans="1:31" ht="15" customHeight="1">
      <c r="A29" s="201"/>
      <c r="B29" s="273" t="s">
        <v>458</v>
      </c>
      <c r="C29" s="251" t="s">
        <v>460</v>
      </c>
      <c r="D29" s="243">
        <v>158.99</v>
      </c>
      <c r="E29" s="272" t="s">
        <v>469</v>
      </c>
      <c r="F29" s="201"/>
      <c r="G29" s="201"/>
      <c r="H29" s="201"/>
      <c r="I29" s="201"/>
      <c r="J29" s="201"/>
      <c r="K29" s="201"/>
      <c r="L29" s="201"/>
      <c r="M29" s="201"/>
      <c r="N29" s="201"/>
      <c r="O29" s="201"/>
      <c r="P29" s="201"/>
      <c r="Q29" s="201"/>
      <c r="R29" s="201"/>
      <c r="S29" s="201"/>
      <c r="T29" s="201"/>
      <c r="U29" s="201"/>
      <c r="V29" s="201"/>
      <c r="W29" s="201"/>
      <c r="X29" s="201"/>
      <c r="Y29" s="201"/>
      <c r="Z29" s="201"/>
      <c r="AA29" s="201"/>
      <c r="AB29" s="201"/>
      <c r="AC29" s="201"/>
      <c r="AD29" s="201"/>
      <c r="AE29" s="201"/>
    </row>
    <row r="30" spans="1:31" ht="15" customHeight="1">
      <c r="A30" s="201"/>
      <c r="B30" s="273" t="s">
        <v>458</v>
      </c>
      <c r="C30" s="251" t="s">
        <v>462</v>
      </c>
      <c r="D30" s="243">
        <v>0.15890000000000001</v>
      </c>
      <c r="E30" s="272" t="s">
        <v>470</v>
      </c>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1" ht="15" customHeight="1">
      <c r="A31" s="201"/>
      <c r="B31" s="273" t="s">
        <v>460</v>
      </c>
      <c r="C31" s="251" t="s">
        <v>462</v>
      </c>
      <c r="D31" s="243">
        <v>1E-3</v>
      </c>
      <c r="E31" s="272" t="s">
        <v>471</v>
      </c>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row>
    <row r="32" spans="1:31" ht="15" customHeight="1">
      <c r="A32" s="201"/>
      <c r="B32" s="273" t="s">
        <v>460</v>
      </c>
      <c r="C32" s="251" t="s">
        <v>456</v>
      </c>
      <c r="D32" s="243">
        <v>0.26419999999999999</v>
      </c>
      <c r="E32" s="272" t="s">
        <v>472</v>
      </c>
      <c r="F32" s="201"/>
      <c r="G32" s="201"/>
      <c r="H32" s="201"/>
      <c r="I32" s="201"/>
      <c r="J32" s="201"/>
      <c r="K32" s="201"/>
      <c r="L32" s="201"/>
      <c r="M32" s="201"/>
      <c r="N32" s="201"/>
      <c r="O32" s="201"/>
      <c r="P32" s="201"/>
      <c r="Q32" s="201"/>
      <c r="R32" s="201"/>
      <c r="S32" s="201"/>
      <c r="T32" s="201"/>
      <c r="U32" s="201"/>
      <c r="V32" s="201"/>
      <c r="W32" s="201"/>
      <c r="X32" s="201"/>
      <c r="Y32" s="201"/>
      <c r="Z32" s="201"/>
      <c r="AA32" s="201"/>
      <c r="AB32" s="201"/>
      <c r="AC32" s="201"/>
      <c r="AD32" s="201"/>
      <c r="AE32" s="201"/>
    </row>
    <row r="33" spans="1:31" ht="15" customHeight="1">
      <c r="A33" s="201"/>
      <c r="B33" s="273" t="s">
        <v>462</v>
      </c>
      <c r="C33" s="251" t="s">
        <v>458</v>
      </c>
      <c r="D33" s="243">
        <v>6.2896999999999998</v>
      </c>
      <c r="E33" s="272" t="s">
        <v>473</v>
      </c>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row>
    <row r="34" spans="1:31" ht="15" customHeight="1">
      <c r="A34" s="201"/>
      <c r="B34" s="273" t="s">
        <v>462</v>
      </c>
      <c r="C34" s="251" t="s">
        <v>456</v>
      </c>
      <c r="D34" s="243">
        <v>264.2</v>
      </c>
      <c r="E34" s="272" t="s">
        <v>474</v>
      </c>
      <c r="F34" s="201"/>
      <c r="G34" s="201"/>
      <c r="H34" s="201"/>
      <c r="I34" s="201"/>
      <c r="J34" s="201"/>
      <c r="K34" s="201"/>
      <c r="L34" s="201"/>
      <c r="M34" s="201"/>
      <c r="N34" s="201"/>
      <c r="O34" s="201"/>
      <c r="P34" s="201"/>
      <c r="Q34" s="201"/>
      <c r="R34" s="201"/>
      <c r="S34" s="201"/>
      <c r="T34" s="201"/>
      <c r="U34" s="201"/>
      <c r="V34" s="201"/>
      <c r="W34" s="201"/>
      <c r="X34" s="201"/>
      <c r="Y34" s="201"/>
      <c r="Z34" s="201"/>
      <c r="AA34" s="201"/>
      <c r="AB34" s="201"/>
      <c r="AC34" s="201"/>
      <c r="AD34" s="201"/>
      <c r="AE34" s="201"/>
    </row>
    <row r="35" spans="1:31" ht="15" customHeight="1" thickBot="1">
      <c r="A35" s="201"/>
      <c r="B35" s="274" t="s">
        <v>462</v>
      </c>
      <c r="C35" s="275" t="s">
        <v>460</v>
      </c>
      <c r="D35" s="266">
        <v>1000</v>
      </c>
      <c r="E35" s="276" t="s">
        <v>475</v>
      </c>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row>
    <row r="36" spans="1:31" ht="15" customHeight="1" thickBot="1">
      <c r="A36" s="201"/>
      <c r="B36" s="237"/>
      <c r="C36" s="249"/>
      <c r="D36" s="249"/>
      <c r="E36" s="249"/>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row>
    <row r="37" spans="1:31" ht="15" customHeight="1" thickBot="1">
      <c r="A37" s="201"/>
      <c r="B37" s="447" t="s">
        <v>476</v>
      </c>
      <c r="C37" s="450"/>
      <c r="D37" s="450"/>
      <c r="E37" s="448"/>
      <c r="F37" s="201"/>
      <c r="G37" s="201"/>
      <c r="H37" s="201"/>
      <c r="I37" s="201"/>
      <c r="J37" s="201"/>
      <c r="K37" s="201"/>
      <c r="L37" s="201"/>
      <c r="M37" s="201"/>
      <c r="N37" s="201"/>
      <c r="O37" s="201"/>
      <c r="P37" s="201"/>
      <c r="Q37" s="201"/>
      <c r="R37" s="201"/>
      <c r="S37" s="201"/>
      <c r="T37" s="201"/>
      <c r="U37" s="201"/>
      <c r="V37" s="201"/>
      <c r="W37" s="201"/>
      <c r="X37" s="201"/>
      <c r="Y37" s="201"/>
      <c r="Z37" s="201"/>
      <c r="AA37" s="201"/>
      <c r="AB37" s="201"/>
      <c r="AC37" s="201"/>
      <c r="AD37" s="201"/>
      <c r="AE37" s="201"/>
    </row>
    <row r="38" spans="1:31" ht="15" customHeight="1" thickBot="1">
      <c r="A38" s="201"/>
      <c r="B38" s="253" t="s">
        <v>436</v>
      </c>
      <c r="C38" s="238" t="s">
        <v>437</v>
      </c>
      <c r="D38" s="238" t="s">
        <v>438</v>
      </c>
      <c r="E38" s="254" t="s">
        <v>50</v>
      </c>
      <c r="F38" s="201"/>
      <c r="G38" s="201"/>
      <c r="H38" s="201"/>
      <c r="I38" s="201"/>
      <c r="J38" s="201"/>
      <c r="K38" s="201"/>
      <c r="L38" s="201"/>
      <c r="M38" s="201"/>
      <c r="N38" s="201"/>
      <c r="O38" s="201"/>
      <c r="P38" s="201"/>
      <c r="Q38" s="201"/>
      <c r="R38" s="201"/>
      <c r="S38" s="201"/>
      <c r="T38" s="201"/>
      <c r="U38" s="201"/>
      <c r="V38" s="201"/>
      <c r="W38" s="201"/>
      <c r="X38" s="201"/>
      <c r="Y38" s="201"/>
      <c r="Z38" s="201"/>
      <c r="AA38" s="201"/>
      <c r="AB38" s="201"/>
      <c r="AC38" s="201"/>
      <c r="AD38" s="201"/>
      <c r="AE38" s="201"/>
    </row>
    <row r="39" spans="1:31" ht="15" customHeight="1">
      <c r="A39" s="201"/>
      <c r="B39" s="268" t="s">
        <v>477</v>
      </c>
      <c r="C39" s="269" t="s">
        <v>478</v>
      </c>
      <c r="D39" s="277">
        <v>3412</v>
      </c>
      <c r="E39" s="278" t="s">
        <v>479</v>
      </c>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row>
    <row r="40" spans="1:31" ht="15" customHeight="1">
      <c r="A40" s="201"/>
      <c r="B40" s="279" t="s">
        <v>477</v>
      </c>
      <c r="C40" s="251" t="s">
        <v>480</v>
      </c>
      <c r="D40" s="248">
        <v>3600</v>
      </c>
      <c r="E40" s="280" t="s">
        <v>481</v>
      </c>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row>
    <row r="41" spans="1:31" ht="15" customHeight="1">
      <c r="A41" s="201"/>
      <c r="B41" s="271" t="s">
        <v>482</v>
      </c>
      <c r="C41" s="251" t="s">
        <v>483</v>
      </c>
      <c r="D41" s="243">
        <v>1E-3</v>
      </c>
      <c r="E41" s="280" t="s">
        <v>484</v>
      </c>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row>
    <row r="42" spans="1:31" ht="15" customHeight="1">
      <c r="A42" s="201"/>
      <c r="B42" s="271" t="s">
        <v>485</v>
      </c>
      <c r="C42" s="251" t="s">
        <v>486</v>
      </c>
      <c r="D42" s="243">
        <v>0.94779999999999998</v>
      </c>
      <c r="E42" s="280" t="s">
        <v>487</v>
      </c>
      <c r="F42" s="201"/>
      <c r="G42" s="201"/>
      <c r="H42" s="201"/>
      <c r="I42" s="201"/>
      <c r="J42" s="201"/>
      <c r="K42" s="201"/>
      <c r="L42" s="201"/>
      <c r="M42" s="201"/>
      <c r="N42" s="201"/>
      <c r="O42" s="201"/>
      <c r="P42" s="201"/>
      <c r="Q42" s="201"/>
      <c r="R42" s="201"/>
      <c r="S42" s="201"/>
      <c r="T42" s="201"/>
      <c r="U42" s="201"/>
      <c r="V42" s="201"/>
      <c r="W42" s="201"/>
      <c r="X42" s="201"/>
      <c r="Y42" s="201"/>
      <c r="Z42" s="201"/>
      <c r="AA42" s="201"/>
      <c r="AB42" s="201"/>
      <c r="AC42" s="201"/>
      <c r="AD42" s="201"/>
      <c r="AE42" s="201"/>
    </row>
    <row r="43" spans="1:31" ht="15" customHeight="1">
      <c r="A43" s="201"/>
      <c r="B43" s="271" t="s">
        <v>485</v>
      </c>
      <c r="C43" s="251" t="s">
        <v>488</v>
      </c>
      <c r="D43" s="243">
        <v>277.8</v>
      </c>
      <c r="E43" s="280" t="s">
        <v>489</v>
      </c>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1"/>
      <c r="AD43" s="201"/>
      <c r="AE43" s="201"/>
    </row>
    <row r="44" spans="1:31" ht="15" customHeight="1">
      <c r="A44" s="201"/>
      <c r="B44" s="271" t="s">
        <v>478</v>
      </c>
      <c r="C44" s="251" t="s">
        <v>490</v>
      </c>
      <c r="D44" s="248">
        <v>1055</v>
      </c>
      <c r="E44" s="280" t="s">
        <v>491</v>
      </c>
      <c r="F44" s="201"/>
      <c r="G44" s="201"/>
      <c r="H44" s="201"/>
      <c r="I44" s="201"/>
      <c r="J44" s="201"/>
      <c r="K44" s="201"/>
      <c r="L44" s="201"/>
      <c r="M44" s="201"/>
      <c r="N44" s="201"/>
      <c r="O44" s="201"/>
      <c r="P44" s="201"/>
      <c r="Q44" s="201"/>
      <c r="R44" s="201"/>
      <c r="S44" s="201"/>
      <c r="T44" s="201"/>
      <c r="U44" s="201"/>
      <c r="V44" s="201"/>
      <c r="W44" s="201"/>
      <c r="X44" s="201"/>
      <c r="Y44" s="201"/>
      <c r="Z44" s="201"/>
      <c r="AA44" s="201"/>
      <c r="AB44" s="201"/>
      <c r="AC44" s="201"/>
      <c r="AD44" s="201"/>
      <c r="AE44" s="201"/>
    </row>
    <row r="45" spans="1:31" ht="15" customHeight="1">
      <c r="A45" s="201"/>
      <c r="B45" s="271" t="s">
        <v>486</v>
      </c>
      <c r="C45" s="251" t="s">
        <v>483</v>
      </c>
      <c r="D45" s="243">
        <v>1.0549999999999999</v>
      </c>
      <c r="E45" s="280" t="s">
        <v>492</v>
      </c>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row>
    <row r="46" spans="1:31" ht="15" customHeight="1">
      <c r="A46" s="201"/>
      <c r="B46" s="271" t="s">
        <v>486</v>
      </c>
      <c r="C46" s="251" t="s">
        <v>488</v>
      </c>
      <c r="D46" s="243">
        <v>293</v>
      </c>
      <c r="E46" s="280" t="s">
        <v>493</v>
      </c>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row>
    <row r="47" spans="1:31" ht="15" customHeight="1">
      <c r="A47" s="201"/>
      <c r="B47" s="271" t="s">
        <v>494</v>
      </c>
      <c r="C47" s="251" t="s">
        <v>478</v>
      </c>
      <c r="D47" s="248">
        <v>100000</v>
      </c>
      <c r="E47" s="262" t="s">
        <v>495</v>
      </c>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row>
    <row r="48" spans="1:31" ht="15" customHeight="1">
      <c r="A48" s="201"/>
      <c r="B48" s="271" t="s">
        <v>494</v>
      </c>
      <c r="C48" s="251" t="s">
        <v>483</v>
      </c>
      <c r="D48" s="243">
        <v>0.1055</v>
      </c>
      <c r="E48" s="280" t="s">
        <v>496</v>
      </c>
      <c r="F48" s="201"/>
      <c r="G48" s="201"/>
      <c r="H48" s="201"/>
      <c r="I48" s="201"/>
      <c r="J48" s="201"/>
      <c r="K48" s="201"/>
      <c r="L48" s="201"/>
      <c r="M48" s="201"/>
      <c r="N48" s="201"/>
      <c r="O48" s="201"/>
      <c r="P48" s="201"/>
      <c r="Q48" s="201"/>
      <c r="R48" s="201"/>
      <c r="S48" s="201"/>
      <c r="T48" s="201"/>
      <c r="U48" s="201"/>
      <c r="V48" s="201"/>
      <c r="W48" s="201"/>
      <c r="X48" s="201"/>
      <c r="Y48" s="201"/>
      <c r="Z48" s="201"/>
      <c r="AA48" s="201"/>
      <c r="AB48" s="201"/>
      <c r="AC48" s="201"/>
      <c r="AD48" s="201"/>
      <c r="AE48" s="201"/>
    </row>
    <row r="49" spans="1:31" ht="15" customHeight="1" thickBot="1">
      <c r="A49" s="201"/>
      <c r="B49" s="281" t="s">
        <v>494</v>
      </c>
      <c r="C49" s="275" t="s">
        <v>488</v>
      </c>
      <c r="D49" s="282">
        <v>29.3</v>
      </c>
      <c r="E49" s="283" t="s">
        <v>497</v>
      </c>
      <c r="F49" s="201"/>
      <c r="G49" s="201"/>
      <c r="H49" s="201"/>
      <c r="I49" s="201"/>
      <c r="J49" s="201"/>
      <c r="K49" s="201"/>
      <c r="L49" s="201"/>
      <c r="M49" s="201"/>
      <c r="N49" s="201"/>
      <c r="O49" s="201"/>
      <c r="P49" s="201"/>
      <c r="Q49" s="201"/>
      <c r="R49" s="201"/>
      <c r="S49" s="201"/>
      <c r="T49" s="201"/>
      <c r="U49" s="201"/>
      <c r="V49" s="201"/>
      <c r="W49" s="201"/>
      <c r="X49" s="201"/>
      <c r="Y49" s="201"/>
      <c r="Z49" s="201"/>
      <c r="AA49" s="201"/>
      <c r="AB49" s="201"/>
      <c r="AC49" s="201"/>
      <c r="AD49" s="201"/>
      <c r="AE49" s="201"/>
    </row>
    <row r="50" spans="1:31" ht="15" customHeight="1" thickBot="1">
      <c r="A50" s="201"/>
      <c r="B50" s="237"/>
      <c r="C50" s="249"/>
      <c r="D50" s="249"/>
      <c r="E50" s="249"/>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row>
    <row r="51" spans="1:31" ht="15" customHeight="1" thickBot="1">
      <c r="A51" s="201"/>
      <c r="B51" s="447" t="s">
        <v>498</v>
      </c>
      <c r="C51" s="450"/>
      <c r="D51" s="450"/>
      <c r="E51" s="448"/>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row>
    <row r="52" spans="1:31" ht="15" customHeight="1" thickBot="1">
      <c r="A52" s="201"/>
      <c r="B52" s="253" t="s">
        <v>436</v>
      </c>
      <c r="C52" s="238" t="s">
        <v>437</v>
      </c>
      <c r="D52" s="238" t="s">
        <v>438</v>
      </c>
      <c r="E52" s="254" t="s">
        <v>50</v>
      </c>
      <c r="F52" s="201"/>
      <c r="G52" s="201"/>
      <c r="H52" s="201"/>
      <c r="I52" s="201"/>
      <c r="J52" s="201"/>
      <c r="K52" s="201"/>
      <c r="L52" s="201"/>
      <c r="M52" s="201"/>
      <c r="N52" s="201"/>
      <c r="O52" s="201"/>
      <c r="P52" s="201"/>
      <c r="Q52" s="201"/>
      <c r="R52" s="201"/>
      <c r="S52" s="201"/>
      <c r="T52" s="201"/>
      <c r="U52" s="201"/>
      <c r="V52" s="201"/>
      <c r="W52" s="201"/>
      <c r="X52" s="201"/>
      <c r="Y52" s="201"/>
      <c r="Z52" s="201"/>
      <c r="AA52" s="201"/>
      <c r="AB52" s="201"/>
      <c r="AC52" s="201"/>
      <c r="AD52" s="201"/>
      <c r="AE52" s="201"/>
    </row>
    <row r="53" spans="1:31" ht="15" customHeight="1">
      <c r="A53" s="201"/>
      <c r="B53" s="255" t="s">
        <v>499</v>
      </c>
      <c r="C53" s="256" t="s">
        <v>500</v>
      </c>
      <c r="D53" s="257">
        <v>1.609</v>
      </c>
      <c r="E53" s="270" t="s">
        <v>501</v>
      </c>
      <c r="F53" s="201"/>
      <c r="G53" s="201"/>
      <c r="H53" s="201"/>
      <c r="I53" s="201"/>
      <c r="J53" s="201"/>
      <c r="K53" s="201"/>
      <c r="L53" s="201"/>
      <c r="M53" s="201"/>
      <c r="N53" s="201"/>
      <c r="O53" s="201"/>
      <c r="P53" s="201"/>
      <c r="Q53" s="201"/>
      <c r="R53" s="201"/>
      <c r="S53" s="201"/>
      <c r="T53" s="201"/>
      <c r="U53" s="201"/>
      <c r="V53" s="201"/>
      <c r="W53" s="201"/>
      <c r="X53" s="201"/>
      <c r="Y53" s="201"/>
      <c r="Z53" s="201"/>
      <c r="AA53" s="201"/>
      <c r="AB53" s="201"/>
      <c r="AC53" s="201"/>
      <c r="AD53" s="201"/>
      <c r="AE53" s="201"/>
    </row>
    <row r="54" spans="1:31" ht="15" customHeight="1">
      <c r="A54" s="201"/>
      <c r="B54" s="261" t="s">
        <v>502</v>
      </c>
      <c r="C54" s="242" t="s">
        <v>503</v>
      </c>
      <c r="D54" s="243">
        <v>1.1499999999999999</v>
      </c>
      <c r="E54" s="272" t="s">
        <v>504</v>
      </c>
      <c r="F54" s="201"/>
      <c r="G54" s="201"/>
      <c r="H54" s="201"/>
      <c r="I54" s="201"/>
      <c r="J54" s="201"/>
      <c r="K54" s="201"/>
      <c r="L54" s="201"/>
      <c r="M54" s="201"/>
      <c r="N54" s="201"/>
      <c r="O54" s="201"/>
      <c r="P54" s="201"/>
      <c r="Q54" s="201"/>
      <c r="R54" s="201"/>
      <c r="S54" s="201"/>
      <c r="T54" s="201"/>
      <c r="U54" s="201"/>
      <c r="V54" s="201"/>
      <c r="W54" s="201"/>
      <c r="X54" s="201"/>
      <c r="Y54" s="201"/>
      <c r="Z54" s="201"/>
      <c r="AA54" s="201"/>
      <c r="AB54" s="201"/>
      <c r="AC54" s="201"/>
      <c r="AD54" s="201"/>
      <c r="AE54" s="201"/>
    </row>
    <row r="55" spans="1:31" ht="15" customHeight="1" thickBot="1">
      <c r="A55" s="201"/>
      <c r="B55" s="264" t="s">
        <v>505</v>
      </c>
      <c r="C55" s="284" t="s">
        <v>503</v>
      </c>
      <c r="D55" s="282">
        <f>ROUND(1/D53,3)</f>
        <v>0.622</v>
      </c>
      <c r="E55" s="276" t="s">
        <v>506</v>
      </c>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row>
    <row r="56" spans="1:31" ht="15" customHeight="1" thickBot="1">
      <c r="A56" s="201"/>
      <c r="B56" s="237"/>
      <c r="C56" s="237"/>
      <c r="D56" s="249"/>
      <c r="E56" s="249"/>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row>
    <row r="57" spans="1:31" ht="15" customHeight="1" thickBot="1">
      <c r="A57" s="201"/>
      <c r="B57" s="447" t="s">
        <v>507</v>
      </c>
      <c r="C57" s="448"/>
      <c r="D57" s="249"/>
      <c r="E57" s="252"/>
      <c r="F57" s="201"/>
      <c r="G57" s="201"/>
      <c r="H57" s="201"/>
      <c r="I57" s="201"/>
      <c r="J57" s="201"/>
      <c r="K57" s="201"/>
      <c r="L57" s="201"/>
      <c r="M57" s="201"/>
      <c r="N57" s="201"/>
      <c r="O57" s="201"/>
      <c r="P57" s="201"/>
      <c r="Q57" s="201"/>
      <c r="R57" s="201"/>
      <c r="S57" s="201"/>
      <c r="T57" s="201"/>
      <c r="U57" s="201"/>
      <c r="V57" s="201"/>
      <c r="W57" s="201"/>
      <c r="X57" s="201"/>
      <c r="Y57" s="201"/>
      <c r="Z57" s="201"/>
      <c r="AA57" s="201"/>
      <c r="AB57" s="201"/>
      <c r="AC57" s="201"/>
      <c r="AD57" s="201"/>
      <c r="AE57" s="201"/>
    </row>
    <row r="58" spans="1:31" ht="15" customHeight="1">
      <c r="A58" s="201"/>
      <c r="B58" s="268" t="s">
        <v>508</v>
      </c>
      <c r="C58" s="285">
        <v>1000</v>
      </c>
      <c r="D58" s="249"/>
      <c r="E58" s="252"/>
      <c r="F58" s="201"/>
      <c r="G58" s="201"/>
      <c r="H58" s="201"/>
      <c r="I58" s="201"/>
      <c r="J58" s="201"/>
      <c r="K58" s="201"/>
      <c r="L58" s="201"/>
      <c r="M58" s="201"/>
      <c r="N58" s="201"/>
      <c r="O58" s="201"/>
      <c r="P58" s="201"/>
      <c r="Q58" s="201"/>
      <c r="R58" s="201"/>
      <c r="S58" s="201"/>
      <c r="T58" s="201"/>
      <c r="U58" s="201"/>
      <c r="V58" s="201"/>
      <c r="W58" s="201"/>
      <c r="X58" s="201"/>
      <c r="Y58" s="201"/>
      <c r="Z58" s="201"/>
      <c r="AA58" s="201"/>
      <c r="AB58" s="201"/>
      <c r="AC58" s="201"/>
      <c r="AD58" s="201"/>
      <c r="AE58" s="201"/>
    </row>
    <row r="59" spans="1:31" ht="15" customHeight="1">
      <c r="A59" s="201"/>
      <c r="B59" s="271" t="s">
        <v>509</v>
      </c>
      <c r="C59" s="286">
        <v>1000000</v>
      </c>
      <c r="D59" s="249"/>
      <c r="E59" s="252"/>
      <c r="F59" s="201"/>
      <c r="G59" s="201"/>
      <c r="H59" s="201"/>
      <c r="I59" s="201"/>
      <c r="J59" s="201"/>
      <c r="K59" s="201"/>
      <c r="L59" s="201"/>
      <c r="M59" s="201"/>
      <c r="N59" s="201"/>
      <c r="O59" s="201"/>
      <c r="P59" s="201"/>
      <c r="Q59" s="201"/>
      <c r="R59" s="201"/>
      <c r="S59" s="201"/>
      <c r="T59" s="201"/>
      <c r="U59" s="201"/>
      <c r="V59" s="201"/>
      <c r="W59" s="201"/>
      <c r="X59" s="201"/>
      <c r="Y59" s="201"/>
      <c r="Z59" s="201"/>
      <c r="AA59" s="201"/>
      <c r="AB59" s="201"/>
      <c r="AC59" s="201"/>
      <c r="AD59" s="201"/>
      <c r="AE59" s="201"/>
    </row>
    <row r="60" spans="1:31" ht="15" customHeight="1">
      <c r="A60" s="201"/>
      <c r="B60" s="271" t="s">
        <v>510</v>
      </c>
      <c r="C60" s="286">
        <v>1000000000</v>
      </c>
      <c r="D60" s="249"/>
      <c r="E60" s="252"/>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row>
    <row r="61" spans="1:31" ht="15" customHeight="1">
      <c r="A61" s="201"/>
      <c r="B61" s="271" t="s">
        <v>511</v>
      </c>
      <c r="C61" s="286">
        <v>1000000000000</v>
      </c>
      <c r="D61" s="249"/>
      <c r="E61" s="252"/>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row>
    <row r="62" spans="1:31" ht="15" customHeight="1">
      <c r="A62" s="201"/>
      <c r="B62" s="271" t="s">
        <v>512</v>
      </c>
      <c r="C62" s="287">
        <v>12</v>
      </c>
      <c r="D62" s="249"/>
      <c r="E62" s="252"/>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row>
    <row r="63" spans="1:31" ht="15" customHeight="1" thickBot="1">
      <c r="A63" s="201"/>
      <c r="B63" s="281" t="s">
        <v>513</v>
      </c>
      <c r="C63" s="288">
        <v>44</v>
      </c>
      <c r="D63" s="249"/>
      <c r="E63" s="252"/>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row>
    <row r="64" spans="1:31">
      <c r="A64" s="201"/>
      <c r="B64" s="237"/>
      <c r="C64" s="237"/>
      <c r="D64" s="237"/>
      <c r="E64" s="252"/>
      <c r="F64" s="201"/>
      <c r="G64" s="201"/>
      <c r="H64" s="201"/>
      <c r="I64" s="201"/>
      <c r="J64" s="201"/>
      <c r="K64" s="201"/>
      <c r="L64" s="201"/>
      <c r="M64" s="201"/>
      <c r="N64" s="201"/>
      <c r="O64" s="201"/>
      <c r="P64" s="201"/>
      <c r="Q64" s="201"/>
      <c r="R64" s="201"/>
      <c r="S64" s="201"/>
      <c r="T64" s="201"/>
      <c r="U64" s="201"/>
      <c r="V64" s="201"/>
      <c r="W64" s="201"/>
      <c r="X64" s="201"/>
      <c r="Y64" s="201"/>
      <c r="Z64" s="201"/>
      <c r="AA64" s="201"/>
      <c r="AB64" s="201"/>
      <c r="AC64" s="201"/>
      <c r="AD64" s="201"/>
      <c r="AE64" s="201"/>
    </row>
    <row r="65" spans="1:31">
      <c r="A65" s="201"/>
      <c r="B65" s="252"/>
      <c r="C65" s="252"/>
      <c r="D65" s="252"/>
      <c r="E65" s="252"/>
      <c r="F65" s="201"/>
      <c r="G65" s="201"/>
      <c r="H65" s="201"/>
      <c r="I65" s="201"/>
      <c r="J65" s="201"/>
      <c r="K65" s="201"/>
      <c r="L65" s="201"/>
      <c r="M65" s="201"/>
      <c r="N65" s="201"/>
      <c r="O65" s="201"/>
      <c r="P65" s="201"/>
      <c r="Q65" s="201"/>
      <c r="R65" s="201"/>
      <c r="S65" s="201"/>
      <c r="T65" s="201"/>
      <c r="U65" s="201"/>
      <c r="V65" s="201"/>
      <c r="W65" s="201"/>
      <c r="X65" s="201"/>
      <c r="Y65" s="201"/>
      <c r="Z65" s="201"/>
      <c r="AA65" s="201"/>
      <c r="AB65" s="201"/>
      <c r="AC65" s="201"/>
      <c r="AD65" s="201"/>
      <c r="AE65" s="201"/>
    </row>
    <row r="66" spans="1:31" hidden="1">
      <c r="A66" s="201"/>
      <c r="B66" s="252"/>
      <c r="C66" s="252"/>
      <c r="D66" s="252"/>
      <c r="E66" s="252"/>
      <c r="F66" s="201"/>
      <c r="G66" s="201"/>
      <c r="H66" s="201"/>
      <c r="I66" s="201"/>
      <c r="J66" s="201"/>
      <c r="K66" s="201"/>
      <c r="L66" s="201"/>
      <c r="M66" s="201"/>
      <c r="N66" s="201"/>
      <c r="O66" s="201"/>
      <c r="P66" s="201"/>
      <c r="Q66" s="201"/>
      <c r="R66" s="201"/>
      <c r="S66" s="201"/>
      <c r="T66" s="201"/>
      <c r="U66" s="201"/>
      <c r="V66" s="201"/>
      <c r="W66" s="201"/>
      <c r="X66" s="201"/>
      <c r="Y66" s="201"/>
      <c r="Z66" s="201"/>
      <c r="AA66" s="201"/>
      <c r="AB66" s="201"/>
      <c r="AC66" s="201"/>
      <c r="AD66" s="201"/>
      <c r="AE66" s="201"/>
    </row>
    <row r="67" spans="1:31" hidden="1">
      <c r="A67" s="201"/>
      <c r="B67" s="252"/>
      <c r="C67" s="252"/>
      <c r="D67" s="252"/>
      <c r="E67" s="252"/>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row>
    <row r="68" spans="1:31" hidden="1">
      <c r="A68" s="201"/>
      <c r="B68" s="252"/>
      <c r="C68" s="252"/>
      <c r="D68" s="252"/>
      <c r="E68" s="252"/>
      <c r="F68" s="201"/>
      <c r="G68" s="201"/>
      <c r="H68" s="201"/>
      <c r="I68" s="201"/>
      <c r="J68" s="201"/>
      <c r="K68" s="201"/>
      <c r="L68" s="201"/>
      <c r="M68" s="201"/>
      <c r="N68" s="201"/>
      <c r="O68" s="201"/>
      <c r="P68" s="201"/>
      <c r="Q68" s="201"/>
      <c r="R68" s="201"/>
      <c r="S68" s="201"/>
      <c r="T68" s="201"/>
      <c r="U68" s="201"/>
      <c r="V68" s="201"/>
      <c r="W68" s="201"/>
      <c r="X68" s="201"/>
      <c r="Y68" s="201"/>
      <c r="Z68" s="201"/>
      <c r="AA68" s="201"/>
      <c r="AB68" s="201"/>
      <c r="AC68" s="201"/>
      <c r="AD68" s="201"/>
      <c r="AE68" s="201"/>
    </row>
    <row r="69" spans="1:31" hidden="1">
      <c r="A69" s="201"/>
      <c r="B69" s="252"/>
      <c r="C69" s="252"/>
      <c r="D69" s="252"/>
      <c r="E69" s="252"/>
      <c r="F69" s="201"/>
      <c r="G69" s="201"/>
      <c r="H69" s="201"/>
      <c r="I69" s="201"/>
      <c r="J69" s="201"/>
      <c r="K69" s="201"/>
      <c r="L69" s="201"/>
      <c r="M69" s="201"/>
      <c r="N69" s="201"/>
      <c r="O69" s="201"/>
      <c r="P69" s="201"/>
      <c r="Q69" s="201"/>
      <c r="R69" s="201"/>
      <c r="S69" s="201"/>
      <c r="T69" s="201"/>
      <c r="U69" s="201"/>
      <c r="V69" s="201"/>
      <c r="W69" s="201"/>
      <c r="X69" s="201"/>
      <c r="Y69" s="201"/>
      <c r="Z69" s="201"/>
      <c r="AA69" s="201"/>
      <c r="AB69" s="201"/>
      <c r="AC69" s="201"/>
      <c r="AD69" s="201"/>
      <c r="AE69" s="201"/>
    </row>
    <row r="70" spans="1:31" hidden="1">
      <c r="A70" s="201"/>
      <c r="B70" s="252"/>
      <c r="C70" s="252"/>
      <c r="D70" s="252"/>
      <c r="E70" s="252"/>
      <c r="F70" s="201"/>
      <c r="G70" s="201"/>
      <c r="H70" s="201"/>
      <c r="I70" s="201"/>
      <c r="J70" s="201"/>
      <c r="K70" s="201"/>
      <c r="L70" s="201"/>
      <c r="M70" s="201"/>
      <c r="N70" s="201"/>
      <c r="O70" s="201"/>
      <c r="P70" s="201"/>
      <c r="Q70" s="201"/>
      <c r="R70" s="201"/>
      <c r="S70" s="201"/>
      <c r="T70" s="201"/>
      <c r="U70" s="201"/>
      <c r="V70" s="201"/>
      <c r="W70" s="201"/>
      <c r="X70" s="201"/>
      <c r="Y70" s="201"/>
      <c r="Z70" s="201"/>
      <c r="AA70" s="201"/>
      <c r="AB70" s="201"/>
      <c r="AC70" s="201"/>
      <c r="AD70" s="201"/>
      <c r="AE70" s="201"/>
    </row>
    <row r="71" spans="1:31" hidden="1">
      <c r="A71" s="201"/>
      <c r="B71" s="252"/>
      <c r="C71" s="252"/>
      <c r="D71" s="252"/>
      <c r="E71" s="252"/>
      <c r="F71" s="201"/>
      <c r="G71" s="201"/>
      <c r="H71" s="201"/>
      <c r="I71" s="201"/>
      <c r="J71" s="201"/>
      <c r="K71" s="201"/>
      <c r="L71" s="201"/>
      <c r="M71" s="201"/>
      <c r="N71" s="201"/>
      <c r="O71" s="201"/>
      <c r="P71" s="201"/>
      <c r="Q71" s="201"/>
      <c r="R71" s="201"/>
      <c r="S71" s="201"/>
      <c r="T71" s="201"/>
      <c r="U71" s="201"/>
      <c r="V71" s="201"/>
      <c r="W71" s="201"/>
      <c r="X71" s="201"/>
      <c r="Y71" s="201"/>
      <c r="Z71" s="201"/>
      <c r="AA71" s="201"/>
      <c r="AB71" s="201"/>
      <c r="AC71" s="201"/>
      <c r="AD71" s="201"/>
      <c r="AE71" s="201"/>
    </row>
    <row r="72" spans="1:31" hidden="1">
      <c r="A72" s="201"/>
      <c r="B72" s="252"/>
      <c r="C72" s="252"/>
      <c r="D72" s="252"/>
      <c r="E72" s="252"/>
      <c r="F72" s="201"/>
      <c r="G72" s="201"/>
      <c r="H72" s="201"/>
      <c r="I72" s="201"/>
      <c r="J72" s="201"/>
      <c r="K72" s="201"/>
      <c r="L72" s="201"/>
      <c r="M72" s="201"/>
      <c r="N72" s="201"/>
      <c r="O72" s="201"/>
      <c r="P72" s="201"/>
      <c r="Q72" s="201"/>
      <c r="R72" s="201"/>
      <c r="S72" s="201"/>
      <c r="T72" s="201"/>
      <c r="U72" s="201"/>
      <c r="V72" s="201"/>
      <c r="W72" s="201"/>
      <c r="X72" s="201"/>
      <c r="Y72" s="201"/>
      <c r="Z72" s="201"/>
      <c r="AA72" s="201"/>
      <c r="AB72" s="201"/>
      <c r="AC72" s="201"/>
      <c r="AD72" s="201"/>
      <c r="AE72" s="201"/>
    </row>
    <row r="73" spans="1:31" hidden="1">
      <c r="A73" s="201"/>
      <c r="B73" s="252"/>
      <c r="C73" s="252"/>
      <c r="D73" s="252"/>
      <c r="E73" s="252"/>
      <c r="F73" s="201"/>
      <c r="G73" s="201"/>
      <c r="H73" s="201"/>
      <c r="I73" s="201"/>
      <c r="J73" s="201"/>
      <c r="K73" s="201"/>
      <c r="L73" s="201"/>
      <c r="M73" s="201"/>
      <c r="N73" s="201"/>
      <c r="O73" s="201"/>
      <c r="P73" s="201"/>
      <c r="Q73" s="201"/>
      <c r="R73" s="201"/>
      <c r="S73" s="201"/>
      <c r="T73" s="201"/>
      <c r="U73" s="201"/>
      <c r="V73" s="201"/>
      <c r="W73" s="201"/>
      <c r="X73" s="201"/>
      <c r="Y73" s="201"/>
      <c r="Z73" s="201"/>
      <c r="AA73" s="201"/>
      <c r="AB73" s="201"/>
      <c r="AC73" s="201"/>
      <c r="AD73" s="201"/>
      <c r="AE73" s="201"/>
    </row>
    <row r="74" spans="1:31" hidden="1">
      <c r="A74" s="201"/>
      <c r="B74" s="252"/>
      <c r="C74" s="252"/>
      <c r="D74" s="252"/>
      <c r="E74" s="252"/>
      <c r="F74" s="201"/>
      <c r="G74" s="201"/>
      <c r="H74" s="201"/>
      <c r="I74" s="201"/>
      <c r="J74" s="201"/>
      <c r="K74" s="201"/>
      <c r="L74" s="201"/>
      <c r="M74" s="201"/>
      <c r="N74" s="201"/>
      <c r="O74" s="201"/>
      <c r="P74" s="201"/>
      <c r="Q74" s="201"/>
      <c r="R74" s="201"/>
      <c r="S74" s="201"/>
      <c r="T74" s="201"/>
      <c r="U74" s="201"/>
      <c r="V74" s="201"/>
      <c r="W74" s="201"/>
      <c r="X74" s="201"/>
      <c r="Y74" s="201"/>
      <c r="Z74" s="201"/>
      <c r="AA74" s="201"/>
      <c r="AB74" s="201"/>
      <c r="AC74" s="201"/>
      <c r="AD74" s="201"/>
      <c r="AE74" s="201"/>
    </row>
    <row r="75" spans="1:31" hidden="1">
      <c r="A75" s="201"/>
      <c r="B75" s="252"/>
      <c r="C75" s="252"/>
      <c r="D75" s="252"/>
      <c r="E75" s="252"/>
      <c r="F75" s="201"/>
      <c r="G75" s="201"/>
      <c r="H75" s="201"/>
      <c r="I75" s="201"/>
      <c r="J75" s="201"/>
      <c r="K75" s="201"/>
      <c r="L75" s="201"/>
      <c r="M75" s="201"/>
      <c r="N75" s="201"/>
      <c r="O75" s="201"/>
      <c r="P75" s="201"/>
      <c r="Q75" s="201"/>
      <c r="R75" s="201"/>
      <c r="S75" s="201"/>
      <c r="T75" s="201"/>
      <c r="U75" s="201"/>
      <c r="V75" s="201"/>
      <c r="W75" s="201"/>
      <c r="X75" s="201"/>
      <c r="Y75" s="201"/>
      <c r="Z75" s="201"/>
      <c r="AA75" s="201"/>
      <c r="AB75" s="201"/>
      <c r="AC75" s="201"/>
      <c r="AD75" s="201"/>
      <c r="AE75" s="201"/>
    </row>
    <row r="76" spans="1:31" hidden="1">
      <c r="A76" s="201"/>
      <c r="B76" s="252"/>
      <c r="C76" s="252"/>
      <c r="D76" s="252"/>
      <c r="E76" s="252"/>
      <c r="F76" s="201"/>
      <c r="G76" s="201"/>
      <c r="H76" s="201"/>
      <c r="I76" s="201"/>
      <c r="J76" s="201"/>
      <c r="K76" s="201"/>
      <c r="L76" s="201"/>
      <c r="M76" s="201"/>
      <c r="N76" s="201"/>
      <c r="O76" s="201"/>
      <c r="P76" s="201"/>
      <c r="Q76" s="201"/>
      <c r="R76" s="201"/>
      <c r="S76" s="201"/>
      <c r="T76" s="201"/>
      <c r="U76" s="201"/>
      <c r="V76" s="201"/>
      <c r="W76" s="201"/>
      <c r="X76" s="201"/>
      <c r="Y76" s="201"/>
      <c r="Z76" s="201"/>
      <c r="AA76" s="201"/>
      <c r="AB76" s="201"/>
      <c r="AC76" s="201"/>
      <c r="AD76" s="201"/>
      <c r="AE76" s="201"/>
    </row>
    <row r="77" spans="1:31" hidden="1">
      <c r="A77" s="201"/>
      <c r="B77" s="252"/>
      <c r="C77" s="252"/>
      <c r="D77" s="252"/>
      <c r="E77" s="252"/>
      <c r="F77" s="201"/>
      <c r="G77" s="201"/>
      <c r="H77" s="201"/>
      <c r="I77" s="201"/>
      <c r="J77" s="201"/>
      <c r="K77" s="201"/>
      <c r="L77" s="201"/>
      <c r="M77" s="201"/>
      <c r="N77" s="201"/>
      <c r="O77" s="201"/>
      <c r="P77" s="201"/>
      <c r="Q77" s="201"/>
      <c r="R77" s="201"/>
      <c r="S77" s="201"/>
      <c r="T77" s="201"/>
      <c r="U77" s="201"/>
      <c r="V77" s="201"/>
      <c r="W77" s="201"/>
      <c r="X77" s="201"/>
      <c r="Y77" s="201"/>
      <c r="Z77" s="201"/>
      <c r="AA77" s="201"/>
      <c r="AB77" s="201"/>
      <c r="AC77" s="201"/>
      <c r="AD77" s="201"/>
      <c r="AE77" s="201"/>
    </row>
    <row r="78" spans="1:31" hidden="1">
      <c r="A78" s="201"/>
      <c r="B78" s="252"/>
      <c r="C78" s="252"/>
      <c r="D78" s="252"/>
      <c r="E78" s="252"/>
      <c r="F78" s="201"/>
      <c r="G78" s="201"/>
      <c r="H78" s="201"/>
      <c r="I78" s="201"/>
      <c r="J78" s="201"/>
      <c r="K78" s="201"/>
      <c r="L78" s="201"/>
      <c r="M78" s="201"/>
      <c r="N78" s="201"/>
      <c r="O78" s="201"/>
      <c r="P78" s="201"/>
      <c r="Q78" s="201"/>
      <c r="R78" s="201"/>
      <c r="S78" s="201"/>
      <c r="T78" s="201"/>
      <c r="U78" s="201"/>
      <c r="V78" s="201"/>
      <c r="W78" s="201"/>
      <c r="X78" s="201"/>
      <c r="Y78" s="201"/>
      <c r="Z78" s="201"/>
      <c r="AA78" s="201"/>
      <c r="AB78" s="201"/>
      <c r="AC78" s="201"/>
      <c r="AD78" s="201"/>
      <c r="AE78" s="201"/>
    </row>
    <row r="79" spans="1:31" hidden="1">
      <c r="A79" s="201"/>
      <c r="B79" s="252"/>
      <c r="C79" s="252"/>
      <c r="D79" s="252"/>
      <c r="E79" s="252"/>
      <c r="F79" s="201"/>
      <c r="G79" s="201"/>
      <c r="H79" s="201"/>
      <c r="I79" s="201"/>
      <c r="J79" s="201"/>
      <c r="K79" s="201"/>
      <c r="L79" s="201"/>
      <c r="M79" s="201"/>
      <c r="N79" s="201"/>
      <c r="O79" s="201"/>
      <c r="P79" s="201"/>
      <c r="Q79" s="201"/>
      <c r="R79" s="201"/>
      <c r="S79" s="201"/>
      <c r="T79" s="201"/>
      <c r="U79" s="201"/>
      <c r="V79" s="201"/>
      <c r="W79" s="201"/>
      <c r="X79" s="201"/>
      <c r="Y79" s="201"/>
      <c r="Z79" s="201"/>
      <c r="AA79" s="201"/>
      <c r="AB79" s="201"/>
      <c r="AC79" s="201"/>
      <c r="AD79" s="201"/>
      <c r="AE79" s="201"/>
    </row>
    <row r="80" spans="1:31" hidden="1">
      <c r="A80" s="201"/>
      <c r="B80" s="252"/>
      <c r="C80" s="252"/>
      <c r="D80" s="252"/>
      <c r="E80" s="252"/>
      <c r="F80" s="201"/>
      <c r="G80" s="201"/>
      <c r="H80" s="201"/>
      <c r="I80" s="201"/>
      <c r="J80" s="201"/>
      <c r="K80" s="201"/>
      <c r="L80" s="201"/>
      <c r="M80" s="201"/>
      <c r="N80" s="201"/>
      <c r="O80" s="201"/>
      <c r="P80" s="201"/>
      <c r="Q80" s="201"/>
      <c r="R80" s="201"/>
      <c r="S80" s="201"/>
      <c r="T80" s="201"/>
      <c r="U80" s="201"/>
      <c r="V80" s="201"/>
      <c r="W80" s="201"/>
      <c r="X80" s="201"/>
      <c r="Y80" s="201"/>
      <c r="Z80" s="201"/>
      <c r="AA80" s="201"/>
      <c r="AB80" s="201"/>
      <c r="AC80" s="201"/>
      <c r="AD80" s="201"/>
      <c r="AE80" s="201"/>
    </row>
    <row r="81" spans="1:31" hidden="1">
      <c r="A81" s="201"/>
      <c r="B81" s="252"/>
      <c r="C81" s="252"/>
      <c r="D81" s="252"/>
      <c r="E81" s="252"/>
      <c r="F81" s="201"/>
      <c r="G81" s="201"/>
      <c r="H81" s="201"/>
      <c r="I81" s="201"/>
      <c r="J81" s="201"/>
      <c r="K81" s="201"/>
      <c r="L81" s="201"/>
      <c r="M81" s="201"/>
      <c r="N81" s="201"/>
      <c r="O81" s="201"/>
      <c r="P81" s="201"/>
      <c r="Q81" s="201"/>
      <c r="R81" s="201"/>
      <c r="S81" s="201"/>
      <c r="T81" s="201"/>
      <c r="U81" s="201"/>
      <c r="V81" s="201"/>
      <c r="W81" s="201"/>
      <c r="X81" s="201"/>
      <c r="Y81" s="201"/>
      <c r="Z81" s="201"/>
      <c r="AA81" s="201"/>
      <c r="AB81" s="201"/>
      <c r="AC81" s="201"/>
      <c r="AD81" s="201"/>
      <c r="AE81" s="201"/>
    </row>
    <row r="82" spans="1:31" hidden="1">
      <c r="A82" s="201"/>
      <c r="B82" s="252"/>
      <c r="C82" s="252"/>
      <c r="D82" s="252"/>
      <c r="E82" s="252"/>
      <c r="F82" s="201"/>
      <c r="G82" s="201"/>
      <c r="H82" s="201"/>
      <c r="I82" s="201"/>
      <c r="J82" s="201"/>
      <c r="K82" s="201"/>
      <c r="L82" s="201"/>
      <c r="M82" s="201"/>
      <c r="N82" s="201"/>
      <c r="O82" s="201"/>
      <c r="P82" s="201"/>
      <c r="Q82" s="201"/>
      <c r="R82" s="201"/>
      <c r="S82" s="201"/>
      <c r="T82" s="201"/>
      <c r="U82" s="201"/>
      <c r="V82" s="201"/>
      <c r="W82" s="201"/>
      <c r="X82" s="201"/>
      <c r="Y82" s="201"/>
      <c r="Z82" s="201"/>
      <c r="AA82" s="201"/>
      <c r="AB82" s="201"/>
      <c r="AC82" s="201"/>
      <c r="AD82" s="201"/>
      <c r="AE82" s="201"/>
    </row>
    <row r="83" spans="1:31" hidden="1">
      <c r="A83" s="201"/>
      <c r="B83" s="252"/>
      <c r="C83" s="252"/>
      <c r="D83" s="252"/>
      <c r="E83" s="252"/>
      <c r="F83" s="201"/>
      <c r="G83" s="201"/>
      <c r="H83" s="201"/>
      <c r="I83" s="201"/>
      <c r="J83" s="201"/>
      <c r="K83" s="201"/>
      <c r="L83" s="201"/>
      <c r="M83" s="201"/>
      <c r="N83" s="201"/>
      <c r="O83" s="201"/>
      <c r="P83" s="201"/>
      <c r="Q83" s="201"/>
      <c r="R83" s="201"/>
      <c r="S83" s="201"/>
      <c r="T83" s="201"/>
      <c r="U83" s="201"/>
      <c r="V83" s="201"/>
      <c r="W83" s="201"/>
      <c r="X83" s="201"/>
      <c r="Y83" s="201"/>
      <c r="Z83" s="201"/>
      <c r="AA83" s="201"/>
      <c r="AB83" s="201"/>
      <c r="AC83" s="201"/>
      <c r="AD83" s="201"/>
      <c r="AE83" s="201"/>
    </row>
    <row r="84" spans="1:31" hidden="1">
      <c r="A84" s="201"/>
      <c r="B84" s="252"/>
      <c r="C84" s="252"/>
      <c r="D84" s="252"/>
      <c r="E84" s="252"/>
      <c r="F84" s="201"/>
      <c r="G84" s="201"/>
      <c r="H84" s="201"/>
      <c r="I84" s="201"/>
      <c r="J84" s="201"/>
      <c r="K84" s="201"/>
      <c r="L84" s="201"/>
      <c r="M84" s="201"/>
      <c r="N84" s="201"/>
      <c r="O84" s="201"/>
      <c r="P84" s="201"/>
      <c r="Q84" s="201"/>
      <c r="R84" s="201"/>
      <c r="S84" s="201"/>
      <c r="T84" s="201"/>
      <c r="U84" s="201"/>
      <c r="V84" s="201"/>
      <c r="W84" s="201"/>
      <c r="X84" s="201"/>
      <c r="Y84" s="201"/>
      <c r="Z84" s="201"/>
      <c r="AA84" s="201"/>
      <c r="AB84" s="201"/>
      <c r="AC84" s="201"/>
      <c r="AD84" s="201"/>
      <c r="AE84" s="201"/>
    </row>
    <row r="85" spans="1:31" hidden="1">
      <c r="A85" s="201"/>
      <c r="B85" s="252"/>
      <c r="C85" s="252"/>
      <c r="D85" s="252"/>
      <c r="E85" s="252"/>
      <c r="F85" s="201"/>
      <c r="G85" s="201"/>
      <c r="H85" s="201"/>
      <c r="I85" s="201"/>
      <c r="J85" s="201"/>
      <c r="K85" s="201"/>
      <c r="L85" s="201"/>
      <c r="M85" s="201"/>
      <c r="N85" s="201"/>
      <c r="O85" s="201"/>
      <c r="P85" s="201"/>
      <c r="Q85" s="201"/>
      <c r="R85" s="201"/>
      <c r="S85" s="201"/>
      <c r="T85" s="201"/>
      <c r="U85" s="201"/>
      <c r="V85" s="201"/>
      <c r="W85" s="201"/>
      <c r="X85" s="201"/>
      <c r="Y85" s="201"/>
      <c r="Z85" s="201"/>
      <c r="AA85" s="201"/>
      <c r="AB85" s="201"/>
      <c r="AC85" s="201"/>
      <c r="AD85" s="201"/>
      <c r="AE85" s="201"/>
    </row>
    <row r="86" spans="1:31" hidden="1">
      <c r="A86" s="201"/>
      <c r="B86" s="252"/>
      <c r="C86" s="252"/>
      <c r="D86" s="252"/>
      <c r="E86" s="252"/>
      <c r="F86" s="201"/>
      <c r="G86" s="201"/>
      <c r="H86" s="201"/>
      <c r="I86" s="201"/>
      <c r="J86" s="201"/>
      <c r="K86" s="201"/>
      <c r="L86" s="201"/>
      <c r="M86" s="201"/>
      <c r="N86" s="201"/>
      <c r="O86" s="201"/>
      <c r="P86" s="201"/>
      <c r="Q86" s="201"/>
      <c r="R86" s="201"/>
      <c r="S86" s="201"/>
      <c r="T86" s="201"/>
      <c r="U86" s="201"/>
      <c r="V86" s="201"/>
      <c r="W86" s="201"/>
      <c r="X86" s="201"/>
      <c r="Y86" s="201"/>
      <c r="Z86" s="201"/>
      <c r="AA86" s="201"/>
      <c r="AB86" s="201"/>
      <c r="AC86" s="201"/>
      <c r="AD86" s="201"/>
      <c r="AE86" s="201"/>
    </row>
    <row r="87" spans="1:31" hidden="1">
      <c r="A87" s="201"/>
      <c r="B87" s="252"/>
      <c r="C87" s="252"/>
      <c r="D87" s="252"/>
      <c r="E87" s="252"/>
      <c r="F87" s="201"/>
      <c r="G87" s="201"/>
      <c r="H87" s="201"/>
      <c r="I87" s="201"/>
      <c r="J87" s="201"/>
      <c r="K87" s="201"/>
      <c r="L87" s="201"/>
      <c r="M87" s="201"/>
      <c r="N87" s="201"/>
      <c r="O87" s="201"/>
      <c r="P87" s="201"/>
      <c r="Q87" s="201"/>
      <c r="R87" s="201"/>
      <c r="S87" s="201"/>
      <c r="T87" s="201"/>
      <c r="U87" s="201"/>
      <c r="V87" s="201"/>
      <c r="W87" s="201"/>
      <c r="X87" s="201"/>
      <c r="Y87" s="201"/>
      <c r="Z87" s="201"/>
      <c r="AA87" s="201"/>
      <c r="AB87" s="201"/>
      <c r="AC87" s="201"/>
      <c r="AD87" s="201"/>
      <c r="AE87" s="201"/>
    </row>
    <row r="88" spans="1:31" hidden="1">
      <c r="A88" s="201"/>
      <c r="B88" s="252"/>
      <c r="C88" s="252"/>
      <c r="D88" s="252"/>
      <c r="E88" s="252"/>
      <c r="F88" s="201"/>
      <c r="G88" s="201"/>
      <c r="H88" s="201"/>
      <c r="I88" s="201"/>
      <c r="J88" s="201"/>
      <c r="K88" s="201"/>
      <c r="L88" s="201"/>
      <c r="M88" s="201"/>
      <c r="N88" s="201"/>
      <c r="O88" s="201"/>
      <c r="P88" s="201"/>
      <c r="Q88" s="201"/>
      <c r="R88" s="201"/>
      <c r="S88" s="201"/>
      <c r="T88" s="201"/>
      <c r="U88" s="201"/>
      <c r="V88" s="201"/>
      <c r="W88" s="201"/>
      <c r="X88" s="201"/>
      <c r="Y88" s="201"/>
      <c r="Z88" s="201"/>
      <c r="AA88" s="201"/>
      <c r="AB88" s="201"/>
      <c r="AC88" s="201"/>
      <c r="AD88" s="201"/>
      <c r="AE88" s="201"/>
    </row>
    <row r="89" spans="1:31" hidden="1">
      <c r="A89" s="201"/>
      <c r="B89" s="252"/>
      <c r="C89" s="252"/>
      <c r="D89" s="252"/>
      <c r="E89" s="252"/>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row>
    <row r="90" spans="1:31" hidden="1">
      <c r="A90" s="201"/>
      <c r="B90" s="252"/>
      <c r="C90" s="252"/>
      <c r="D90" s="252"/>
      <c r="E90" s="252"/>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row>
    <row r="91" spans="1:31" hidden="1">
      <c r="A91" s="201"/>
      <c r="B91" s="252"/>
      <c r="C91" s="252"/>
      <c r="D91" s="252"/>
      <c r="E91" s="252"/>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row>
    <row r="92" spans="1:31" hidden="1">
      <c r="A92" s="201"/>
      <c r="B92" s="252"/>
      <c r="C92" s="252"/>
      <c r="D92" s="252"/>
      <c r="E92" s="252"/>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row>
    <row r="93" spans="1:31" hidden="1">
      <c r="A93" s="201"/>
      <c r="B93" s="252"/>
      <c r="C93" s="252"/>
      <c r="D93" s="252"/>
      <c r="E93" s="252"/>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row>
    <row r="94" spans="1:31" hidden="1">
      <c r="A94" s="201"/>
      <c r="B94" s="252"/>
      <c r="C94" s="252"/>
      <c r="D94" s="252"/>
      <c r="E94" s="252"/>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row>
    <row r="95" spans="1:31" hidden="1">
      <c r="A95" s="201"/>
      <c r="B95" s="252"/>
      <c r="C95" s="252"/>
      <c r="D95" s="252"/>
      <c r="E95" s="252"/>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row>
    <row r="96" spans="1:31" hidden="1">
      <c r="A96" s="201"/>
      <c r="B96" s="252"/>
      <c r="C96" s="252"/>
      <c r="D96" s="252"/>
      <c r="E96" s="252"/>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row>
    <row r="97" spans="1:31" hidden="1">
      <c r="A97" s="201"/>
      <c r="B97" s="252"/>
      <c r="C97" s="252"/>
      <c r="D97" s="252"/>
      <c r="E97" s="252"/>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row>
    <row r="98" spans="1:31" hidden="1">
      <c r="A98" s="201"/>
      <c r="B98" s="252"/>
      <c r="C98" s="252"/>
      <c r="D98" s="252"/>
      <c r="E98" s="252"/>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row>
    <row r="99" spans="1:31" hidden="1">
      <c r="A99" s="201"/>
      <c r="B99" s="252"/>
      <c r="C99" s="252"/>
      <c r="D99" s="252"/>
      <c r="E99" s="252"/>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row>
    <row r="100" spans="1:31" hidden="1">
      <c r="A100" s="201"/>
      <c r="B100" s="252"/>
      <c r="C100" s="252"/>
      <c r="D100" s="252"/>
      <c r="E100" s="252"/>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row>
    <row r="101" spans="1:31" hidden="1">
      <c r="A101" s="201"/>
      <c r="B101" s="252"/>
      <c r="C101" s="252"/>
      <c r="D101" s="252"/>
      <c r="E101" s="252"/>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row>
    <row r="102" spans="1:31" hidden="1">
      <c r="A102" s="201"/>
      <c r="B102" s="252"/>
      <c r="C102" s="252"/>
      <c r="D102" s="252"/>
      <c r="E102" s="252"/>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row>
    <row r="103" spans="1:31" hidden="1">
      <c r="A103" s="201"/>
      <c r="B103" s="252"/>
      <c r="C103" s="252"/>
      <c r="D103" s="252"/>
      <c r="E103" s="252"/>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row>
    <row r="104" spans="1:31" hidden="1">
      <c r="A104" s="201"/>
      <c r="B104" s="252"/>
      <c r="C104" s="252"/>
      <c r="D104" s="252"/>
      <c r="E104" s="252"/>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c r="AB104" s="201"/>
      <c r="AC104" s="201"/>
      <c r="AD104" s="201"/>
      <c r="AE104" s="201"/>
    </row>
    <row r="105" spans="1:31" hidden="1">
      <c r="A105" s="201"/>
      <c r="B105" s="252"/>
      <c r="C105" s="252"/>
      <c r="D105" s="252"/>
      <c r="E105" s="252"/>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row>
    <row r="106" spans="1:31" hidden="1">
      <c r="A106" s="201"/>
      <c r="B106" s="252"/>
      <c r="C106" s="252"/>
      <c r="D106" s="252"/>
      <c r="E106" s="252"/>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201"/>
      <c r="AD106" s="201"/>
      <c r="AE106" s="201"/>
    </row>
    <row r="107" spans="1:31" hidden="1">
      <c r="A107" s="201"/>
      <c r="B107" s="252"/>
      <c r="C107" s="252"/>
      <c r="D107" s="252"/>
      <c r="E107" s="252"/>
      <c r="F107" s="201"/>
      <c r="G107" s="201"/>
      <c r="H107" s="201"/>
      <c r="I107" s="201"/>
      <c r="J107" s="201"/>
      <c r="K107" s="201"/>
      <c r="L107" s="201"/>
      <c r="M107" s="201"/>
      <c r="N107" s="201"/>
      <c r="O107" s="201"/>
      <c r="P107" s="201"/>
      <c r="Q107" s="201"/>
      <c r="R107" s="201"/>
      <c r="S107" s="201"/>
      <c r="T107" s="201"/>
      <c r="U107" s="201"/>
      <c r="V107" s="201"/>
      <c r="W107" s="201"/>
      <c r="X107" s="201"/>
      <c r="Y107" s="201"/>
      <c r="Z107" s="201"/>
      <c r="AA107" s="201"/>
      <c r="AB107" s="201"/>
      <c r="AC107" s="201"/>
      <c r="AD107" s="201"/>
      <c r="AE107" s="201"/>
    </row>
    <row r="108" spans="1:31" hidden="1">
      <c r="A108" s="201"/>
      <c r="B108" s="252"/>
      <c r="C108" s="252"/>
      <c r="D108" s="252"/>
      <c r="E108" s="252"/>
      <c r="F108" s="201"/>
      <c r="G108" s="201"/>
      <c r="H108" s="201"/>
      <c r="I108" s="201"/>
      <c r="J108" s="201"/>
      <c r="K108" s="201"/>
      <c r="L108" s="201"/>
      <c r="M108" s="201"/>
      <c r="N108" s="201"/>
      <c r="O108" s="201"/>
      <c r="P108" s="201"/>
      <c r="Q108" s="201"/>
      <c r="R108" s="201"/>
      <c r="S108" s="201"/>
      <c r="T108" s="201"/>
      <c r="U108" s="201"/>
      <c r="V108" s="201"/>
      <c r="W108" s="201"/>
      <c r="X108" s="201"/>
      <c r="Y108" s="201"/>
      <c r="Z108" s="201"/>
      <c r="AA108" s="201"/>
      <c r="AB108" s="201"/>
      <c r="AC108" s="201"/>
      <c r="AD108" s="201"/>
      <c r="AE108" s="201"/>
    </row>
    <row r="109" spans="1:31" hidden="1">
      <c r="A109" s="201"/>
      <c r="B109" s="252"/>
      <c r="C109" s="252"/>
      <c r="D109" s="252"/>
      <c r="E109" s="252"/>
      <c r="F109" s="201"/>
      <c r="G109" s="201"/>
      <c r="H109" s="201"/>
      <c r="I109" s="201"/>
      <c r="J109" s="201"/>
      <c r="K109" s="201"/>
      <c r="L109" s="201"/>
      <c r="M109" s="201"/>
      <c r="N109" s="201"/>
      <c r="O109" s="201"/>
      <c r="P109" s="201"/>
      <c r="Q109" s="201"/>
      <c r="R109" s="201"/>
      <c r="S109" s="201"/>
      <c r="T109" s="201"/>
      <c r="U109" s="201"/>
      <c r="V109" s="201"/>
      <c r="W109" s="201"/>
      <c r="X109" s="201"/>
      <c r="Y109" s="201"/>
      <c r="Z109" s="201"/>
      <c r="AA109" s="201"/>
      <c r="AB109" s="201"/>
      <c r="AC109" s="201"/>
      <c r="AD109" s="201"/>
      <c r="AE109" s="201"/>
    </row>
    <row r="110" spans="1:31" hidden="1">
      <c r="A110" s="201"/>
      <c r="B110" s="252"/>
      <c r="C110" s="252"/>
      <c r="D110" s="252"/>
      <c r="E110" s="252"/>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row>
    <row r="111" spans="1:31" hidden="1">
      <c r="A111" s="201"/>
      <c r="B111" s="252"/>
      <c r="C111" s="252"/>
      <c r="D111" s="252"/>
      <c r="E111" s="252"/>
      <c r="F111" s="201"/>
      <c r="G111" s="201"/>
      <c r="H111" s="201"/>
      <c r="I111" s="201"/>
      <c r="J111" s="201"/>
      <c r="K111" s="201"/>
      <c r="L111" s="201"/>
      <c r="M111" s="201"/>
      <c r="N111" s="201"/>
      <c r="O111" s="201"/>
      <c r="P111" s="201"/>
      <c r="Q111" s="201"/>
      <c r="R111" s="201"/>
      <c r="S111" s="201"/>
      <c r="T111" s="201"/>
      <c r="U111" s="201"/>
      <c r="V111" s="201"/>
      <c r="W111" s="201"/>
      <c r="X111" s="201"/>
      <c r="Y111" s="201"/>
      <c r="Z111" s="201"/>
      <c r="AA111" s="201"/>
      <c r="AB111" s="201"/>
      <c r="AC111" s="201"/>
      <c r="AD111" s="201"/>
      <c r="AE111" s="201"/>
    </row>
    <row r="112" spans="1:31" hidden="1">
      <c r="A112" s="201"/>
      <c r="B112" s="252"/>
      <c r="C112" s="252"/>
      <c r="D112" s="252"/>
      <c r="E112" s="252"/>
      <c r="F112" s="201"/>
      <c r="G112" s="201"/>
      <c r="H112" s="201"/>
      <c r="I112" s="201"/>
      <c r="J112" s="201"/>
      <c r="K112" s="201"/>
      <c r="L112" s="201"/>
      <c r="M112" s="201"/>
      <c r="N112" s="201"/>
      <c r="O112" s="201"/>
      <c r="P112" s="201"/>
      <c r="Q112" s="201"/>
      <c r="R112" s="201"/>
      <c r="S112" s="201"/>
      <c r="T112" s="201"/>
      <c r="U112" s="201"/>
      <c r="V112" s="201"/>
      <c r="W112" s="201"/>
      <c r="X112" s="201"/>
      <c r="Y112" s="201"/>
      <c r="Z112" s="201"/>
      <c r="AA112" s="201"/>
      <c r="AB112" s="201"/>
      <c r="AC112" s="201"/>
      <c r="AD112" s="201"/>
      <c r="AE112" s="201"/>
    </row>
    <row r="113" spans="1:31" hidden="1">
      <c r="A113" s="201"/>
      <c r="B113" s="252"/>
      <c r="C113" s="252"/>
      <c r="D113" s="252"/>
      <c r="E113" s="252"/>
      <c r="F113" s="201"/>
      <c r="G113" s="201"/>
      <c r="H113" s="201"/>
      <c r="I113" s="201"/>
      <c r="J113" s="201"/>
      <c r="K113" s="201"/>
      <c r="L113" s="201"/>
      <c r="M113" s="201"/>
      <c r="N113" s="201"/>
      <c r="O113" s="201"/>
      <c r="P113" s="201"/>
      <c r="Q113" s="201"/>
      <c r="R113" s="201"/>
      <c r="S113" s="201"/>
      <c r="T113" s="201"/>
      <c r="U113" s="201"/>
      <c r="V113" s="201"/>
      <c r="W113" s="201"/>
      <c r="X113" s="201"/>
      <c r="Y113" s="201"/>
      <c r="Z113" s="201"/>
      <c r="AA113" s="201"/>
      <c r="AB113" s="201"/>
      <c r="AC113" s="201"/>
      <c r="AD113" s="201"/>
      <c r="AE113" s="201"/>
    </row>
    <row r="114" spans="1:31" hidden="1">
      <c r="A114" s="201"/>
      <c r="B114" s="252"/>
      <c r="C114" s="252"/>
      <c r="D114" s="252"/>
      <c r="E114" s="252"/>
      <c r="F114" s="201"/>
      <c r="G114" s="201"/>
      <c r="H114" s="201"/>
      <c r="I114" s="201"/>
      <c r="J114" s="201"/>
      <c r="K114" s="201"/>
      <c r="L114" s="201"/>
      <c r="M114" s="201"/>
      <c r="N114" s="201"/>
      <c r="O114" s="201"/>
      <c r="P114" s="201"/>
      <c r="Q114" s="201"/>
      <c r="R114" s="201"/>
      <c r="S114" s="201"/>
      <c r="T114" s="201"/>
      <c r="U114" s="201"/>
      <c r="V114" s="201"/>
      <c r="W114" s="201"/>
      <c r="X114" s="201"/>
      <c r="Y114" s="201"/>
      <c r="Z114" s="201"/>
      <c r="AA114" s="201"/>
      <c r="AB114" s="201"/>
      <c r="AC114" s="201"/>
      <c r="AD114" s="201"/>
      <c r="AE114" s="201"/>
    </row>
    <row r="115" spans="1:31" hidden="1">
      <c r="A115" s="201"/>
      <c r="B115" s="252"/>
      <c r="C115" s="252"/>
      <c r="D115" s="252"/>
      <c r="E115" s="252"/>
      <c r="F115" s="201"/>
      <c r="G115" s="201"/>
      <c r="H115" s="201"/>
      <c r="I115" s="201"/>
      <c r="J115" s="201"/>
      <c r="K115" s="201"/>
      <c r="L115" s="201"/>
      <c r="M115" s="201"/>
      <c r="N115" s="201"/>
      <c r="O115" s="201"/>
      <c r="P115" s="201"/>
      <c r="Q115" s="201"/>
      <c r="R115" s="201"/>
      <c r="S115" s="201"/>
      <c r="T115" s="201"/>
      <c r="U115" s="201"/>
      <c r="V115" s="201"/>
      <c r="W115" s="201"/>
      <c r="X115" s="201"/>
      <c r="Y115" s="201"/>
      <c r="Z115" s="201"/>
      <c r="AA115" s="201"/>
      <c r="AB115" s="201"/>
      <c r="AC115" s="201"/>
      <c r="AD115" s="201"/>
      <c r="AE115" s="201"/>
    </row>
    <row r="116" spans="1:31" hidden="1">
      <c r="A116" s="201"/>
      <c r="B116" s="252"/>
      <c r="C116" s="252"/>
      <c r="D116" s="252"/>
      <c r="E116" s="252"/>
      <c r="F116" s="201"/>
      <c r="G116" s="201"/>
      <c r="H116" s="201"/>
      <c r="I116" s="201"/>
      <c r="J116" s="201"/>
      <c r="K116" s="201"/>
      <c r="L116" s="201"/>
      <c r="M116" s="201"/>
      <c r="N116" s="201"/>
      <c r="O116" s="201"/>
      <c r="P116" s="201"/>
      <c r="Q116" s="201"/>
      <c r="R116" s="201"/>
      <c r="S116" s="201"/>
      <c r="T116" s="201"/>
      <c r="U116" s="201"/>
      <c r="V116" s="201"/>
      <c r="W116" s="201"/>
      <c r="X116" s="201"/>
      <c r="Y116" s="201"/>
      <c r="Z116" s="201"/>
      <c r="AA116" s="201"/>
      <c r="AB116" s="201"/>
      <c r="AC116" s="201"/>
      <c r="AD116" s="201"/>
      <c r="AE116" s="201"/>
    </row>
    <row r="117" spans="1:31" hidden="1">
      <c r="A117" s="201"/>
      <c r="B117" s="252"/>
      <c r="C117" s="252"/>
      <c r="D117" s="252"/>
      <c r="E117" s="252"/>
      <c r="F117" s="201"/>
      <c r="G117" s="201"/>
      <c r="H117" s="201"/>
      <c r="I117" s="201"/>
      <c r="J117" s="201"/>
      <c r="K117" s="201"/>
      <c r="L117" s="201"/>
      <c r="M117" s="201"/>
      <c r="N117" s="201"/>
      <c r="O117" s="201"/>
      <c r="P117" s="201"/>
      <c r="Q117" s="201"/>
      <c r="R117" s="201"/>
      <c r="S117" s="201"/>
      <c r="T117" s="201"/>
      <c r="U117" s="201"/>
      <c r="V117" s="201"/>
      <c r="W117" s="201"/>
      <c r="X117" s="201"/>
      <c r="Y117" s="201"/>
      <c r="Z117" s="201"/>
      <c r="AA117" s="201"/>
      <c r="AB117" s="201"/>
      <c r="AC117" s="201"/>
      <c r="AD117" s="201"/>
      <c r="AE117" s="201"/>
    </row>
    <row r="118" spans="1:31" hidden="1">
      <c r="A118" s="201"/>
      <c r="B118" s="252"/>
      <c r="C118" s="252"/>
      <c r="D118" s="252"/>
      <c r="E118" s="252"/>
      <c r="F118" s="201"/>
      <c r="G118" s="201"/>
      <c r="H118" s="201"/>
      <c r="I118" s="201"/>
      <c r="J118" s="201"/>
      <c r="K118" s="201"/>
      <c r="L118" s="201"/>
      <c r="M118" s="201"/>
      <c r="N118" s="201"/>
      <c r="O118" s="201"/>
      <c r="P118" s="201"/>
      <c r="Q118" s="201"/>
      <c r="R118" s="201"/>
      <c r="S118" s="201"/>
      <c r="T118" s="201"/>
      <c r="U118" s="201"/>
      <c r="V118" s="201"/>
      <c r="W118" s="201"/>
      <c r="X118" s="201"/>
      <c r="Y118" s="201"/>
      <c r="Z118" s="201"/>
      <c r="AA118" s="201"/>
      <c r="AB118" s="201"/>
      <c r="AC118" s="201"/>
      <c r="AD118" s="201"/>
      <c r="AE118" s="201"/>
    </row>
    <row r="119" spans="1:31" hidden="1">
      <c r="A119" s="201"/>
      <c r="B119" s="252"/>
      <c r="C119" s="252"/>
      <c r="D119" s="252"/>
      <c r="E119" s="252"/>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1"/>
      <c r="AC119" s="201"/>
      <c r="AD119" s="201"/>
      <c r="AE119" s="201"/>
    </row>
    <row r="120" spans="1:31" hidden="1">
      <c r="A120" s="201"/>
      <c r="B120" s="252"/>
      <c r="C120" s="252"/>
      <c r="D120" s="252"/>
      <c r="E120" s="252"/>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row>
    <row r="121" spans="1:31" hidden="1">
      <c r="A121" s="201"/>
      <c r="B121" s="252"/>
      <c r="C121" s="252"/>
      <c r="D121" s="252"/>
      <c r="E121" s="252"/>
      <c r="F121" s="201"/>
      <c r="G121" s="201"/>
      <c r="H121" s="201"/>
      <c r="I121" s="201"/>
      <c r="J121" s="201"/>
      <c r="K121" s="201"/>
      <c r="L121" s="201"/>
      <c r="M121" s="201"/>
      <c r="N121" s="201"/>
      <c r="O121" s="201"/>
      <c r="P121" s="201"/>
      <c r="Q121" s="201"/>
      <c r="R121" s="201"/>
      <c r="S121" s="201"/>
      <c r="T121" s="201"/>
      <c r="U121" s="201"/>
      <c r="V121" s="201"/>
      <c r="W121" s="201"/>
      <c r="X121" s="201"/>
      <c r="Y121" s="201"/>
      <c r="Z121" s="201"/>
      <c r="AA121" s="201"/>
      <c r="AB121" s="201"/>
      <c r="AC121" s="201"/>
      <c r="AD121" s="201"/>
      <c r="AE121" s="201"/>
    </row>
    <row r="122" spans="1:31" hidden="1">
      <c r="A122" s="201"/>
      <c r="B122" s="252"/>
      <c r="C122" s="252"/>
      <c r="D122" s="252"/>
      <c r="E122" s="252"/>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row>
    <row r="123" spans="1:31" hidden="1">
      <c r="A123" s="201"/>
      <c r="B123" s="252"/>
      <c r="C123" s="252"/>
      <c r="D123" s="252"/>
      <c r="E123" s="252"/>
      <c r="F123" s="201"/>
      <c r="G123" s="201"/>
      <c r="H123" s="201"/>
      <c r="I123" s="201"/>
      <c r="J123" s="201"/>
      <c r="K123" s="201"/>
      <c r="L123" s="201"/>
      <c r="M123" s="201"/>
      <c r="N123" s="201"/>
      <c r="O123" s="201"/>
      <c r="P123" s="201"/>
      <c r="Q123" s="201"/>
      <c r="R123" s="201"/>
      <c r="S123" s="201"/>
      <c r="T123" s="201"/>
      <c r="U123" s="201"/>
      <c r="V123" s="201"/>
      <c r="W123" s="201"/>
      <c r="X123" s="201"/>
      <c r="Y123" s="201"/>
      <c r="Z123" s="201"/>
      <c r="AA123" s="201"/>
      <c r="AB123" s="201"/>
      <c r="AC123" s="201"/>
      <c r="AD123" s="201"/>
      <c r="AE123" s="201"/>
    </row>
    <row r="124" spans="1:31" hidden="1">
      <c r="A124" s="201"/>
      <c r="B124" s="252"/>
      <c r="C124" s="252"/>
      <c r="D124" s="252"/>
      <c r="E124" s="252"/>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row>
    <row r="125" spans="1:31" hidden="1">
      <c r="A125" s="201"/>
      <c r="B125" s="252"/>
      <c r="C125" s="252"/>
      <c r="D125" s="252"/>
      <c r="E125" s="252"/>
      <c r="F125" s="201"/>
      <c r="G125" s="201"/>
      <c r="H125" s="201"/>
      <c r="I125" s="201"/>
      <c r="J125" s="201"/>
      <c r="K125" s="201"/>
      <c r="L125" s="201"/>
      <c r="M125" s="201"/>
      <c r="N125" s="201"/>
      <c r="O125" s="201"/>
      <c r="P125" s="201"/>
      <c r="Q125" s="201"/>
      <c r="R125" s="201"/>
      <c r="S125" s="201"/>
      <c r="T125" s="201"/>
      <c r="U125" s="201"/>
      <c r="V125" s="201"/>
      <c r="W125" s="201"/>
      <c r="X125" s="201"/>
      <c r="Y125" s="201"/>
      <c r="Z125" s="201"/>
      <c r="AA125" s="201"/>
      <c r="AB125" s="201"/>
      <c r="AC125" s="201"/>
      <c r="AD125" s="201"/>
      <c r="AE125" s="201"/>
    </row>
    <row r="126" spans="1:31" hidden="1">
      <c r="A126" s="201"/>
      <c r="B126" s="252"/>
      <c r="C126" s="252"/>
      <c r="D126" s="252"/>
      <c r="E126" s="252"/>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row>
    <row r="127" spans="1:31" hidden="1">
      <c r="A127" s="201"/>
      <c r="B127" s="252"/>
      <c r="C127" s="252"/>
      <c r="D127" s="252"/>
      <c r="E127" s="252"/>
      <c r="F127" s="201"/>
      <c r="G127" s="201"/>
      <c r="H127" s="201"/>
      <c r="I127" s="201"/>
      <c r="J127" s="201"/>
      <c r="K127" s="201"/>
      <c r="L127" s="201"/>
      <c r="M127" s="201"/>
      <c r="N127" s="201"/>
      <c r="O127" s="201"/>
      <c r="P127" s="201"/>
      <c r="Q127" s="201"/>
      <c r="R127" s="201"/>
      <c r="S127" s="201"/>
      <c r="T127" s="201"/>
      <c r="U127" s="201"/>
      <c r="V127" s="201"/>
      <c r="W127" s="201"/>
      <c r="X127" s="201"/>
      <c r="Y127" s="201"/>
      <c r="Z127" s="201"/>
      <c r="AA127" s="201"/>
      <c r="AB127" s="201"/>
      <c r="AC127" s="201"/>
      <c r="AD127" s="201"/>
      <c r="AE127" s="201"/>
    </row>
    <row r="128" spans="1:31" hidden="1">
      <c r="A128" s="201"/>
      <c r="B128" s="252"/>
      <c r="C128" s="252"/>
      <c r="D128" s="252"/>
      <c r="E128" s="252"/>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1"/>
      <c r="AB128" s="201"/>
      <c r="AC128" s="201"/>
      <c r="AD128" s="201"/>
      <c r="AE128" s="201"/>
    </row>
    <row r="129" spans="1:31" hidden="1">
      <c r="A129" s="201"/>
      <c r="B129" s="252"/>
      <c r="C129" s="252"/>
      <c r="D129" s="252"/>
      <c r="E129" s="252"/>
      <c r="F129" s="201"/>
      <c r="G129" s="201"/>
      <c r="H129" s="201"/>
      <c r="I129" s="201"/>
      <c r="J129" s="201"/>
      <c r="K129" s="201"/>
      <c r="L129" s="201"/>
      <c r="M129" s="201"/>
      <c r="N129" s="201"/>
      <c r="O129" s="201"/>
      <c r="P129" s="201"/>
      <c r="Q129" s="201"/>
      <c r="R129" s="201"/>
      <c r="S129" s="201"/>
      <c r="T129" s="201"/>
      <c r="U129" s="201"/>
      <c r="V129" s="201"/>
      <c r="W129" s="201"/>
      <c r="X129" s="201"/>
      <c r="Y129" s="201"/>
      <c r="Z129" s="201"/>
      <c r="AA129" s="201"/>
      <c r="AB129" s="201"/>
      <c r="AC129" s="201"/>
      <c r="AD129" s="201"/>
      <c r="AE129" s="201"/>
    </row>
    <row r="130" spans="1:31" hidden="1">
      <c r="A130" s="201"/>
      <c r="B130" s="252"/>
      <c r="C130" s="252"/>
      <c r="D130" s="252"/>
      <c r="E130" s="252"/>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row>
    <row r="131" spans="1:31" hidden="1">
      <c r="A131" s="201"/>
      <c r="B131" s="252"/>
      <c r="C131" s="252"/>
      <c r="D131" s="252"/>
      <c r="E131" s="252"/>
      <c r="F131" s="201"/>
      <c r="G131" s="201"/>
      <c r="H131" s="201"/>
      <c r="I131" s="201"/>
      <c r="J131" s="201"/>
      <c r="K131" s="201"/>
      <c r="L131" s="201"/>
      <c r="M131" s="201"/>
      <c r="N131" s="201"/>
      <c r="O131" s="201"/>
      <c r="P131" s="201"/>
      <c r="Q131" s="201"/>
      <c r="R131" s="201"/>
      <c r="S131" s="201"/>
      <c r="T131" s="201"/>
      <c r="U131" s="201"/>
      <c r="V131" s="201"/>
      <c r="W131" s="201"/>
      <c r="X131" s="201"/>
      <c r="Y131" s="201"/>
      <c r="Z131" s="201"/>
      <c r="AA131" s="201"/>
      <c r="AB131" s="201"/>
      <c r="AC131" s="201"/>
      <c r="AD131" s="201"/>
      <c r="AE131" s="201"/>
    </row>
    <row r="132" spans="1:31" hidden="1">
      <c r="A132" s="201"/>
      <c r="B132" s="252"/>
      <c r="C132" s="252"/>
      <c r="D132" s="252"/>
      <c r="E132" s="252"/>
      <c r="F132" s="201"/>
      <c r="G132" s="201"/>
      <c r="H132" s="201"/>
      <c r="I132" s="201"/>
      <c r="J132" s="201"/>
      <c r="K132" s="201"/>
      <c r="L132" s="201"/>
      <c r="M132" s="201"/>
      <c r="N132" s="201"/>
      <c r="O132" s="201"/>
      <c r="P132" s="201"/>
      <c r="Q132" s="201"/>
      <c r="R132" s="201"/>
      <c r="S132" s="201"/>
      <c r="T132" s="201"/>
      <c r="U132" s="201"/>
      <c r="V132" s="201"/>
      <c r="W132" s="201"/>
      <c r="X132" s="201"/>
      <c r="Y132" s="201"/>
      <c r="Z132" s="201"/>
      <c r="AA132" s="201"/>
      <c r="AB132" s="201"/>
      <c r="AC132" s="201"/>
      <c r="AD132" s="201"/>
      <c r="AE132" s="201"/>
    </row>
    <row r="133" spans="1:31" hidden="1">
      <c r="A133" s="201"/>
      <c r="B133" s="252"/>
      <c r="C133" s="252"/>
      <c r="D133" s="252"/>
      <c r="E133" s="252"/>
      <c r="F133" s="201"/>
      <c r="G133" s="201"/>
      <c r="H133" s="201"/>
      <c r="I133" s="201"/>
      <c r="J133" s="201"/>
      <c r="K133" s="201"/>
      <c r="L133" s="201"/>
      <c r="M133" s="201"/>
      <c r="N133" s="201"/>
      <c r="O133" s="201"/>
      <c r="P133" s="201"/>
      <c r="Q133" s="201"/>
      <c r="R133" s="201"/>
      <c r="S133" s="201"/>
      <c r="T133" s="201"/>
      <c r="U133" s="201"/>
      <c r="V133" s="201"/>
      <c r="W133" s="201"/>
      <c r="X133" s="201"/>
      <c r="Y133" s="201"/>
      <c r="Z133" s="201"/>
      <c r="AA133" s="201"/>
      <c r="AB133" s="201"/>
      <c r="AC133" s="201"/>
      <c r="AD133" s="201"/>
      <c r="AE133" s="201"/>
    </row>
    <row r="134" spans="1:31" hidden="1">
      <c r="A134" s="201"/>
      <c r="B134" s="252"/>
      <c r="C134" s="252"/>
      <c r="D134" s="252"/>
      <c r="E134" s="252"/>
      <c r="F134" s="201"/>
      <c r="G134" s="201"/>
      <c r="H134" s="201"/>
      <c r="I134" s="201"/>
      <c r="J134" s="201"/>
      <c r="K134" s="201"/>
      <c r="L134" s="201"/>
      <c r="M134" s="201"/>
      <c r="N134" s="201"/>
      <c r="O134" s="201"/>
      <c r="P134" s="201"/>
      <c r="Q134" s="201"/>
      <c r="R134" s="201"/>
      <c r="S134" s="201"/>
      <c r="T134" s="201"/>
      <c r="U134" s="201"/>
      <c r="V134" s="201"/>
      <c r="W134" s="201"/>
      <c r="X134" s="201"/>
      <c r="Y134" s="201"/>
      <c r="Z134" s="201"/>
      <c r="AA134" s="201"/>
      <c r="AB134" s="201"/>
      <c r="AC134" s="201"/>
      <c r="AD134" s="201"/>
      <c r="AE134" s="201"/>
    </row>
    <row r="135" spans="1:31" hidden="1">
      <c r="A135" s="201"/>
      <c r="B135" s="252"/>
      <c r="C135" s="252"/>
      <c r="D135" s="252"/>
      <c r="E135" s="252"/>
      <c r="F135" s="201"/>
      <c r="G135" s="201"/>
      <c r="H135" s="201"/>
      <c r="I135" s="201"/>
      <c r="J135" s="201"/>
      <c r="K135" s="201"/>
      <c r="L135" s="201"/>
      <c r="M135" s="201"/>
      <c r="N135" s="201"/>
      <c r="O135" s="201"/>
      <c r="P135" s="201"/>
      <c r="Q135" s="201"/>
      <c r="R135" s="201"/>
      <c r="S135" s="201"/>
      <c r="T135" s="201"/>
      <c r="U135" s="201"/>
      <c r="V135" s="201"/>
      <c r="W135" s="201"/>
      <c r="X135" s="201"/>
      <c r="Y135" s="201"/>
      <c r="Z135" s="201"/>
      <c r="AA135" s="201"/>
      <c r="AB135" s="201"/>
      <c r="AC135" s="201"/>
      <c r="AD135" s="201"/>
      <c r="AE135" s="201"/>
    </row>
    <row r="136" spans="1:31" hidden="1">
      <c r="A136" s="201"/>
      <c r="B136" s="252"/>
      <c r="C136" s="252"/>
      <c r="D136" s="252"/>
      <c r="E136" s="252"/>
      <c r="F136" s="201"/>
      <c r="G136" s="201"/>
      <c r="H136" s="201"/>
      <c r="I136" s="201"/>
      <c r="J136" s="201"/>
      <c r="K136" s="201"/>
      <c r="L136" s="201"/>
      <c r="M136" s="201"/>
      <c r="N136" s="201"/>
      <c r="O136" s="201"/>
      <c r="P136" s="201"/>
      <c r="Q136" s="201"/>
      <c r="R136" s="201"/>
      <c r="S136" s="201"/>
      <c r="T136" s="201"/>
      <c r="U136" s="201"/>
      <c r="V136" s="201"/>
      <c r="W136" s="201"/>
      <c r="X136" s="201"/>
      <c r="Y136" s="201"/>
      <c r="Z136" s="201"/>
      <c r="AA136" s="201"/>
      <c r="AB136" s="201"/>
      <c r="AC136" s="201"/>
      <c r="AD136" s="201"/>
      <c r="AE136" s="201"/>
    </row>
    <row r="137" spans="1:31" hidden="1">
      <c r="A137" s="201"/>
      <c r="B137" s="252"/>
      <c r="C137" s="252"/>
      <c r="D137" s="252"/>
      <c r="E137" s="252"/>
      <c r="F137" s="201"/>
      <c r="G137" s="201"/>
      <c r="H137" s="201"/>
      <c r="I137" s="201"/>
      <c r="J137" s="201"/>
      <c r="K137" s="201"/>
      <c r="L137" s="201"/>
      <c r="M137" s="201"/>
      <c r="N137" s="201"/>
      <c r="O137" s="201"/>
      <c r="P137" s="201"/>
      <c r="Q137" s="201"/>
      <c r="R137" s="201"/>
      <c r="S137" s="201"/>
      <c r="T137" s="201"/>
      <c r="U137" s="201"/>
      <c r="V137" s="201"/>
      <c r="W137" s="201"/>
      <c r="X137" s="201"/>
      <c r="Y137" s="201"/>
      <c r="Z137" s="201"/>
      <c r="AA137" s="201"/>
      <c r="AB137" s="201"/>
      <c r="AC137" s="201"/>
      <c r="AD137" s="201"/>
      <c r="AE137" s="201"/>
    </row>
    <row r="138" spans="1:31" hidden="1">
      <c r="A138" s="201"/>
      <c r="B138" s="252"/>
      <c r="C138" s="252"/>
      <c r="D138" s="252"/>
      <c r="E138" s="252"/>
      <c r="F138" s="201"/>
      <c r="G138" s="201"/>
      <c r="H138" s="201"/>
      <c r="I138" s="201"/>
      <c r="J138" s="201"/>
      <c r="K138" s="201"/>
      <c r="L138" s="201"/>
      <c r="M138" s="201"/>
      <c r="N138" s="201"/>
      <c r="O138" s="201"/>
      <c r="P138" s="201"/>
      <c r="Q138" s="201"/>
      <c r="R138" s="201"/>
      <c r="S138" s="201"/>
      <c r="T138" s="201"/>
      <c r="U138" s="201"/>
      <c r="V138" s="201"/>
      <c r="W138" s="201"/>
      <c r="X138" s="201"/>
      <c r="Y138" s="201"/>
      <c r="Z138" s="201"/>
      <c r="AA138" s="201"/>
      <c r="AB138" s="201"/>
      <c r="AC138" s="201"/>
      <c r="AD138" s="201"/>
      <c r="AE138" s="201"/>
    </row>
    <row r="139" spans="1:31" hidden="1">
      <c r="A139" s="201"/>
      <c r="B139" s="252"/>
      <c r="C139" s="252"/>
      <c r="D139" s="252"/>
      <c r="E139" s="252"/>
      <c r="F139" s="201"/>
      <c r="G139" s="201"/>
      <c r="H139" s="201"/>
      <c r="I139" s="201"/>
      <c r="J139" s="201"/>
      <c r="K139" s="201"/>
      <c r="L139" s="201"/>
      <c r="M139" s="201"/>
      <c r="N139" s="201"/>
      <c r="O139" s="201"/>
      <c r="P139" s="201"/>
      <c r="Q139" s="201"/>
      <c r="R139" s="201"/>
      <c r="S139" s="201"/>
      <c r="T139" s="201"/>
      <c r="U139" s="201"/>
      <c r="V139" s="201"/>
      <c r="W139" s="201"/>
      <c r="X139" s="201"/>
      <c r="Y139" s="201"/>
      <c r="Z139" s="201"/>
      <c r="AA139" s="201"/>
      <c r="AB139" s="201"/>
      <c r="AC139" s="201"/>
      <c r="AD139" s="201"/>
      <c r="AE139" s="201"/>
    </row>
    <row r="140" spans="1:31" hidden="1">
      <c r="A140" s="201"/>
      <c r="B140" s="252"/>
      <c r="C140" s="252"/>
      <c r="D140" s="252"/>
      <c r="E140" s="252"/>
      <c r="F140" s="201"/>
      <c r="G140" s="201"/>
      <c r="H140" s="201"/>
      <c r="I140" s="201"/>
      <c r="J140" s="201"/>
      <c r="K140" s="201"/>
      <c r="L140" s="201"/>
      <c r="M140" s="201"/>
      <c r="N140" s="201"/>
      <c r="O140" s="201"/>
      <c r="P140" s="201"/>
      <c r="Q140" s="201"/>
      <c r="R140" s="201"/>
      <c r="S140" s="201"/>
      <c r="T140" s="201"/>
      <c r="U140" s="201"/>
      <c r="V140" s="201"/>
      <c r="W140" s="201"/>
      <c r="X140" s="201"/>
      <c r="Y140" s="201"/>
      <c r="Z140" s="201"/>
      <c r="AA140" s="201"/>
      <c r="AB140" s="201"/>
      <c r="AC140" s="201"/>
      <c r="AD140" s="201"/>
      <c r="AE140" s="201"/>
    </row>
    <row r="141" spans="1:31" hidden="1">
      <c r="A141" s="201"/>
      <c r="B141" s="252"/>
      <c r="C141" s="252"/>
      <c r="D141" s="252"/>
      <c r="E141" s="252"/>
      <c r="F141" s="201"/>
      <c r="G141" s="201"/>
      <c r="H141" s="201"/>
      <c r="I141" s="201"/>
      <c r="J141" s="201"/>
      <c r="K141" s="201"/>
      <c r="L141" s="201"/>
      <c r="M141" s="201"/>
      <c r="N141" s="201"/>
      <c r="O141" s="201"/>
      <c r="P141" s="201"/>
      <c r="Q141" s="201"/>
      <c r="R141" s="201"/>
      <c r="S141" s="201"/>
      <c r="T141" s="201"/>
      <c r="U141" s="201"/>
      <c r="V141" s="201"/>
      <c r="W141" s="201"/>
      <c r="X141" s="201"/>
      <c r="Y141" s="201"/>
      <c r="Z141" s="201"/>
      <c r="AA141" s="201"/>
      <c r="AB141" s="201"/>
      <c r="AC141" s="201"/>
      <c r="AD141" s="201"/>
      <c r="AE141" s="201"/>
    </row>
    <row r="142" spans="1:31" hidden="1">
      <c r="A142" s="201"/>
      <c r="B142" s="252"/>
      <c r="C142" s="252"/>
      <c r="D142" s="252"/>
      <c r="E142" s="252"/>
      <c r="F142" s="201"/>
      <c r="G142" s="201"/>
      <c r="H142" s="201"/>
      <c r="I142" s="201"/>
      <c r="J142" s="201"/>
      <c r="K142" s="201"/>
      <c r="L142" s="201"/>
      <c r="M142" s="201"/>
      <c r="N142" s="201"/>
      <c r="O142" s="201"/>
      <c r="P142" s="201"/>
      <c r="Q142" s="201"/>
      <c r="R142" s="201"/>
      <c r="S142" s="201"/>
      <c r="T142" s="201"/>
      <c r="U142" s="201"/>
      <c r="V142" s="201"/>
      <c r="W142" s="201"/>
      <c r="X142" s="201"/>
      <c r="Y142" s="201"/>
      <c r="Z142" s="201"/>
      <c r="AA142" s="201"/>
      <c r="AB142" s="201"/>
      <c r="AC142" s="201"/>
      <c r="AD142" s="201"/>
      <c r="AE142" s="201"/>
    </row>
    <row r="143" spans="1:31" hidden="1">
      <c r="A143" s="201"/>
      <c r="B143" s="252"/>
      <c r="C143" s="252"/>
      <c r="D143" s="252"/>
      <c r="E143" s="252"/>
      <c r="F143" s="201"/>
      <c r="G143" s="201"/>
      <c r="H143" s="201"/>
      <c r="I143" s="201"/>
      <c r="J143" s="201"/>
      <c r="K143" s="201"/>
      <c r="L143" s="201"/>
      <c r="M143" s="201"/>
      <c r="N143" s="201"/>
      <c r="O143" s="201"/>
      <c r="P143" s="201"/>
      <c r="Q143" s="201"/>
      <c r="R143" s="201"/>
      <c r="S143" s="201"/>
      <c r="T143" s="201"/>
      <c r="U143" s="201"/>
      <c r="V143" s="201"/>
      <c r="W143" s="201"/>
      <c r="X143" s="201"/>
      <c r="Y143" s="201"/>
      <c r="Z143" s="201"/>
      <c r="AA143" s="201"/>
      <c r="AB143" s="201"/>
      <c r="AC143" s="201"/>
      <c r="AD143" s="201"/>
      <c r="AE143" s="201"/>
    </row>
    <row r="144" spans="1:31" hidden="1">
      <c r="A144" s="201"/>
      <c r="B144" s="252"/>
      <c r="C144" s="252"/>
      <c r="D144" s="252"/>
      <c r="E144" s="252"/>
      <c r="F144" s="201"/>
      <c r="G144" s="201"/>
      <c r="H144" s="201"/>
      <c r="I144" s="201"/>
      <c r="J144" s="201"/>
      <c r="K144" s="201"/>
      <c r="L144" s="201"/>
      <c r="M144" s="201"/>
      <c r="N144" s="201"/>
      <c r="O144" s="201"/>
      <c r="P144" s="201"/>
      <c r="Q144" s="201"/>
      <c r="R144" s="201"/>
      <c r="S144" s="201"/>
      <c r="T144" s="201"/>
      <c r="U144" s="201"/>
      <c r="V144" s="201"/>
      <c r="W144" s="201"/>
      <c r="X144" s="201"/>
      <c r="Y144" s="201"/>
      <c r="Z144" s="201"/>
      <c r="AA144" s="201"/>
      <c r="AB144" s="201"/>
      <c r="AC144" s="201"/>
      <c r="AD144" s="201"/>
      <c r="AE144" s="201"/>
    </row>
    <row r="145" spans="1:31" hidden="1">
      <c r="A145" s="201"/>
      <c r="B145" s="252"/>
      <c r="C145" s="252"/>
      <c r="D145" s="252"/>
      <c r="E145" s="252"/>
      <c r="F145" s="201"/>
      <c r="G145" s="201"/>
      <c r="H145" s="201"/>
      <c r="I145" s="201"/>
      <c r="J145" s="201"/>
      <c r="K145" s="201"/>
      <c r="L145" s="201"/>
      <c r="M145" s="201"/>
      <c r="N145" s="201"/>
      <c r="O145" s="201"/>
      <c r="P145" s="201"/>
      <c r="Q145" s="201"/>
      <c r="R145" s="201"/>
      <c r="S145" s="201"/>
      <c r="T145" s="201"/>
      <c r="U145" s="201"/>
      <c r="V145" s="201"/>
      <c r="W145" s="201"/>
      <c r="X145" s="201"/>
      <c r="Y145" s="201"/>
      <c r="Z145" s="201"/>
      <c r="AA145" s="201"/>
      <c r="AB145" s="201"/>
      <c r="AC145" s="201"/>
      <c r="AD145" s="201"/>
      <c r="AE145" s="201"/>
    </row>
    <row r="146" spans="1:31" hidden="1">
      <c r="A146" s="201"/>
      <c r="B146" s="252"/>
      <c r="C146" s="252"/>
      <c r="D146" s="252"/>
      <c r="E146" s="252"/>
      <c r="F146" s="201"/>
      <c r="G146" s="201"/>
      <c r="H146" s="201"/>
      <c r="I146" s="201"/>
      <c r="J146" s="201"/>
      <c r="K146" s="201"/>
      <c r="L146" s="201"/>
      <c r="M146" s="201"/>
      <c r="N146" s="201"/>
      <c r="O146" s="201"/>
      <c r="P146" s="201"/>
      <c r="Q146" s="201"/>
      <c r="R146" s="201"/>
      <c r="S146" s="201"/>
      <c r="T146" s="201"/>
      <c r="U146" s="201"/>
      <c r="V146" s="201"/>
      <c r="W146" s="201"/>
      <c r="X146" s="201"/>
      <c r="Y146" s="201"/>
      <c r="Z146" s="201"/>
      <c r="AA146" s="201"/>
      <c r="AB146" s="201"/>
      <c r="AC146" s="201"/>
      <c r="AD146" s="201"/>
      <c r="AE146" s="201"/>
    </row>
    <row r="147" spans="1:31" hidden="1">
      <c r="A147" s="201"/>
      <c r="B147" s="252"/>
      <c r="C147" s="252"/>
      <c r="D147" s="252"/>
      <c r="E147" s="252"/>
      <c r="F147" s="201"/>
      <c r="G147" s="201"/>
      <c r="H147" s="201"/>
      <c r="I147" s="201"/>
      <c r="J147" s="201"/>
      <c r="K147" s="201"/>
      <c r="L147" s="201"/>
      <c r="M147" s="201"/>
      <c r="N147" s="201"/>
      <c r="O147" s="201"/>
      <c r="P147" s="201"/>
      <c r="Q147" s="201"/>
      <c r="R147" s="201"/>
      <c r="S147" s="201"/>
      <c r="T147" s="201"/>
      <c r="U147" s="201"/>
      <c r="V147" s="201"/>
      <c r="W147" s="201"/>
      <c r="X147" s="201"/>
      <c r="Y147" s="201"/>
      <c r="Z147" s="201"/>
      <c r="AA147" s="201"/>
      <c r="AB147" s="201"/>
      <c r="AC147" s="201"/>
      <c r="AD147" s="201"/>
      <c r="AE147" s="201"/>
    </row>
    <row r="148" spans="1:31" hidden="1">
      <c r="A148" s="201"/>
      <c r="B148" s="252"/>
      <c r="C148" s="252"/>
      <c r="D148" s="252"/>
      <c r="E148" s="252"/>
      <c r="F148" s="201"/>
      <c r="G148" s="201"/>
      <c r="H148" s="201"/>
      <c r="I148" s="201"/>
      <c r="J148" s="201"/>
      <c r="K148" s="201"/>
      <c r="L148" s="201"/>
      <c r="M148" s="201"/>
      <c r="N148" s="201"/>
      <c r="O148" s="201"/>
      <c r="P148" s="201"/>
      <c r="Q148" s="201"/>
      <c r="R148" s="201"/>
      <c r="S148" s="201"/>
      <c r="T148" s="201"/>
      <c r="U148" s="201"/>
      <c r="V148" s="201"/>
      <c r="W148" s="201"/>
      <c r="X148" s="201"/>
      <c r="Y148" s="201"/>
      <c r="Z148" s="201"/>
      <c r="AA148" s="201"/>
      <c r="AB148" s="201"/>
      <c r="AC148" s="201"/>
      <c r="AD148" s="201"/>
      <c r="AE148" s="201"/>
    </row>
    <row r="149" spans="1:31" hidden="1">
      <c r="A149" s="201"/>
      <c r="B149" s="252"/>
      <c r="C149" s="252"/>
      <c r="D149" s="252"/>
      <c r="E149" s="252"/>
      <c r="F149" s="201"/>
      <c r="G149" s="201"/>
      <c r="H149" s="201"/>
      <c r="I149" s="201"/>
      <c r="J149" s="201"/>
      <c r="K149" s="201"/>
      <c r="L149" s="201"/>
      <c r="M149" s="201"/>
      <c r="N149" s="201"/>
      <c r="O149" s="201"/>
      <c r="P149" s="201"/>
      <c r="Q149" s="201"/>
      <c r="R149" s="201"/>
      <c r="S149" s="201"/>
      <c r="T149" s="201"/>
      <c r="U149" s="201"/>
      <c r="V149" s="201"/>
      <c r="W149" s="201"/>
      <c r="X149" s="201"/>
      <c r="Y149" s="201"/>
      <c r="Z149" s="201"/>
      <c r="AA149" s="201"/>
      <c r="AB149" s="201"/>
      <c r="AC149" s="201"/>
      <c r="AD149" s="201"/>
      <c r="AE149" s="201"/>
    </row>
    <row r="150" spans="1:31" hidden="1">
      <c r="A150" s="201"/>
      <c r="B150" s="252"/>
      <c r="C150" s="252"/>
      <c r="D150" s="252"/>
      <c r="E150" s="252"/>
      <c r="F150" s="201"/>
      <c r="G150" s="201"/>
      <c r="H150" s="201"/>
      <c r="I150" s="201"/>
      <c r="J150" s="201"/>
      <c r="K150" s="201"/>
      <c r="L150" s="201"/>
      <c r="M150" s="201"/>
      <c r="N150" s="201"/>
      <c r="O150" s="201"/>
      <c r="P150" s="201"/>
      <c r="Q150" s="201"/>
      <c r="R150" s="201"/>
      <c r="S150" s="201"/>
      <c r="T150" s="201"/>
      <c r="U150" s="201"/>
      <c r="V150" s="201"/>
      <c r="W150" s="201"/>
      <c r="X150" s="201"/>
      <c r="Y150" s="201"/>
      <c r="Z150" s="201"/>
      <c r="AA150" s="201"/>
      <c r="AB150" s="201"/>
      <c r="AC150" s="201"/>
      <c r="AD150" s="201"/>
      <c r="AE150" s="201"/>
    </row>
    <row r="151" spans="1:31" hidden="1">
      <c r="A151" s="201"/>
      <c r="B151" s="252"/>
      <c r="C151" s="252"/>
      <c r="D151" s="252"/>
      <c r="E151" s="252"/>
      <c r="F151" s="201"/>
      <c r="G151" s="201"/>
      <c r="H151" s="201"/>
      <c r="I151" s="201"/>
      <c r="J151" s="201"/>
      <c r="K151" s="201"/>
      <c r="L151" s="201"/>
      <c r="M151" s="201"/>
      <c r="N151" s="201"/>
      <c r="O151" s="201"/>
      <c r="P151" s="201"/>
      <c r="Q151" s="201"/>
      <c r="R151" s="201"/>
      <c r="S151" s="201"/>
      <c r="T151" s="201"/>
      <c r="U151" s="201"/>
      <c r="V151" s="201"/>
      <c r="W151" s="201"/>
      <c r="X151" s="201"/>
      <c r="Y151" s="201"/>
      <c r="Z151" s="201"/>
      <c r="AA151" s="201"/>
      <c r="AB151" s="201"/>
      <c r="AC151" s="201"/>
      <c r="AD151" s="201"/>
      <c r="AE151" s="201"/>
    </row>
    <row r="152" spans="1:31" hidden="1">
      <c r="A152" s="201"/>
      <c r="B152" s="252"/>
      <c r="C152" s="252"/>
      <c r="D152" s="252"/>
      <c r="E152" s="252"/>
      <c r="F152" s="201"/>
      <c r="G152" s="201"/>
      <c r="H152" s="201"/>
      <c r="I152" s="201"/>
      <c r="J152" s="201"/>
      <c r="K152" s="201"/>
      <c r="L152" s="201"/>
      <c r="M152" s="201"/>
      <c r="N152" s="201"/>
      <c r="O152" s="201"/>
      <c r="P152" s="201"/>
      <c r="Q152" s="201"/>
      <c r="R152" s="201"/>
      <c r="S152" s="201"/>
      <c r="T152" s="201"/>
      <c r="U152" s="201"/>
      <c r="V152" s="201"/>
      <c r="W152" s="201"/>
      <c r="X152" s="201"/>
      <c r="Y152" s="201"/>
      <c r="Z152" s="201"/>
      <c r="AA152" s="201"/>
      <c r="AB152" s="201"/>
      <c r="AC152" s="201"/>
      <c r="AD152" s="201"/>
      <c r="AE152" s="201"/>
    </row>
    <row r="153" spans="1:31" hidden="1">
      <c r="A153" s="201"/>
      <c r="B153" s="252"/>
      <c r="C153" s="252"/>
      <c r="D153" s="252"/>
      <c r="E153" s="252"/>
      <c r="F153" s="201"/>
      <c r="G153" s="201"/>
      <c r="H153" s="201"/>
      <c r="I153" s="201"/>
      <c r="J153" s="201"/>
      <c r="K153" s="201"/>
      <c r="L153" s="201"/>
      <c r="M153" s="201"/>
      <c r="N153" s="201"/>
      <c r="O153" s="201"/>
      <c r="P153" s="201"/>
      <c r="Q153" s="201"/>
      <c r="R153" s="201"/>
      <c r="S153" s="201"/>
      <c r="T153" s="201"/>
      <c r="U153" s="201"/>
      <c r="V153" s="201"/>
      <c r="W153" s="201"/>
      <c r="X153" s="201"/>
      <c r="Y153" s="201"/>
      <c r="Z153" s="201"/>
      <c r="AA153" s="201"/>
      <c r="AB153" s="201"/>
      <c r="AC153" s="201"/>
      <c r="AD153" s="201"/>
      <c r="AE153" s="201"/>
    </row>
    <row r="154" spans="1:31" hidden="1">
      <c r="A154" s="201"/>
      <c r="B154" s="252"/>
      <c r="C154" s="252"/>
      <c r="D154" s="252"/>
      <c r="E154" s="252"/>
      <c r="F154" s="201"/>
      <c r="G154" s="201"/>
      <c r="H154" s="201"/>
      <c r="I154" s="201"/>
      <c r="J154" s="201"/>
      <c r="K154" s="201"/>
      <c r="L154" s="201"/>
      <c r="M154" s="201"/>
      <c r="N154" s="201"/>
      <c r="O154" s="201"/>
      <c r="P154" s="201"/>
      <c r="Q154" s="201"/>
      <c r="R154" s="201"/>
      <c r="S154" s="201"/>
      <c r="T154" s="201"/>
      <c r="U154" s="201"/>
      <c r="V154" s="201"/>
      <c r="W154" s="201"/>
      <c r="X154" s="201"/>
      <c r="Y154" s="201"/>
      <c r="Z154" s="201"/>
      <c r="AA154" s="201"/>
      <c r="AB154" s="201"/>
      <c r="AC154" s="201"/>
      <c r="AD154" s="201"/>
      <c r="AE154" s="201"/>
    </row>
    <row r="155" spans="1:31" hidden="1">
      <c r="A155" s="201"/>
      <c r="B155" s="252"/>
      <c r="C155" s="252"/>
      <c r="D155" s="252"/>
      <c r="E155" s="252"/>
      <c r="F155" s="201"/>
      <c r="G155" s="201"/>
      <c r="H155" s="201"/>
      <c r="I155" s="201"/>
      <c r="J155" s="201"/>
      <c r="K155" s="201"/>
      <c r="L155" s="201"/>
      <c r="M155" s="201"/>
      <c r="N155" s="201"/>
      <c r="O155" s="201"/>
      <c r="P155" s="201"/>
      <c r="Q155" s="201"/>
      <c r="R155" s="201"/>
      <c r="S155" s="201"/>
      <c r="T155" s="201"/>
      <c r="U155" s="201"/>
      <c r="V155" s="201"/>
      <c r="W155" s="201"/>
      <c r="X155" s="201"/>
      <c r="Y155" s="201"/>
      <c r="Z155" s="201"/>
      <c r="AA155" s="201"/>
      <c r="AB155" s="201"/>
      <c r="AC155" s="201"/>
      <c r="AD155" s="201"/>
      <c r="AE155" s="201"/>
    </row>
    <row r="156" spans="1:31" hidden="1">
      <c r="A156" s="201"/>
      <c r="B156" s="252"/>
      <c r="C156" s="252"/>
      <c r="D156" s="252"/>
      <c r="E156" s="252"/>
      <c r="F156" s="201"/>
      <c r="G156" s="201"/>
      <c r="H156" s="201"/>
      <c r="I156" s="201"/>
      <c r="J156" s="201"/>
      <c r="K156" s="201"/>
      <c r="L156" s="201"/>
      <c r="M156" s="201"/>
      <c r="N156" s="201"/>
      <c r="O156" s="201"/>
      <c r="P156" s="201"/>
      <c r="Q156" s="201"/>
      <c r="R156" s="201"/>
      <c r="S156" s="201"/>
      <c r="T156" s="201"/>
      <c r="U156" s="201"/>
      <c r="V156" s="201"/>
      <c r="W156" s="201"/>
      <c r="X156" s="201"/>
      <c r="Y156" s="201"/>
      <c r="Z156" s="201"/>
      <c r="AA156" s="201"/>
      <c r="AB156" s="201"/>
      <c r="AC156" s="201"/>
      <c r="AD156" s="201"/>
      <c r="AE156" s="201"/>
    </row>
    <row r="157" spans="1:31" hidden="1">
      <c r="A157" s="201"/>
      <c r="B157" s="252"/>
      <c r="C157" s="252"/>
      <c r="D157" s="252"/>
      <c r="E157" s="252"/>
      <c r="F157" s="201"/>
      <c r="G157" s="201"/>
      <c r="H157" s="201"/>
      <c r="I157" s="201"/>
      <c r="J157" s="201"/>
      <c r="K157" s="201"/>
      <c r="L157" s="201"/>
      <c r="M157" s="201"/>
      <c r="N157" s="201"/>
      <c r="O157" s="201"/>
      <c r="P157" s="201"/>
      <c r="Q157" s="201"/>
      <c r="R157" s="201"/>
      <c r="S157" s="201"/>
      <c r="T157" s="201"/>
      <c r="U157" s="201"/>
      <c r="V157" s="201"/>
      <c r="W157" s="201"/>
      <c r="X157" s="201"/>
      <c r="Y157" s="201"/>
      <c r="Z157" s="201"/>
      <c r="AA157" s="201"/>
      <c r="AB157" s="201"/>
      <c r="AC157" s="201"/>
      <c r="AD157" s="201"/>
      <c r="AE157" s="201"/>
    </row>
    <row r="158" spans="1:31" hidden="1">
      <c r="A158" s="201"/>
      <c r="B158" s="252"/>
      <c r="C158" s="252"/>
      <c r="D158" s="252"/>
      <c r="E158" s="252"/>
      <c r="F158" s="201"/>
      <c r="G158" s="201"/>
      <c r="H158" s="201"/>
      <c r="I158" s="201"/>
      <c r="J158" s="201"/>
      <c r="K158" s="201"/>
      <c r="L158" s="201"/>
      <c r="M158" s="201"/>
      <c r="N158" s="201"/>
      <c r="O158" s="201"/>
      <c r="P158" s="201"/>
      <c r="Q158" s="201"/>
      <c r="R158" s="201"/>
      <c r="S158" s="201"/>
      <c r="T158" s="201"/>
      <c r="U158" s="201"/>
      <c r="V158" s="201"/>
      <c r="W158" s="201"/>
      <c r="X158" s="201"/>
      <c r="Y158" s="201"/>
      <c r="Z158" s="201"/>
      <c r="AA158" s="201"/>
      <c r="AB158" s="201"/>
      <c r="AC158" s="201"/>
      <c r="AD158" s="201"/>
      <c r="AE158" s="201"/>
    </row>
    <row r="159" spans="1:31" hidden="1">
      <c r="A159" s="201"/>
      <c r="B159" s="252"/>
      <c r="C159" s="252"/>
      <c r="D159" s="252"/>
      <c r="E159" s="252"/>
      <c r="F159" s="201"/>
      <c r="G159" s="201"/>
      <c r="H159" s="201"/>
      <c r="I159" s="201"/>
      <c r="J159" s="201"/>
      <c r="K159" s="201"/>
      <c r="L159" s="201"/>
      <c r="M159" s="201"/>
      <c r="N159" s="201"/>
      <c r="O159" s="201"/>
      <c r="P159" s="201"/>
      <c r="Q159" s="201"/>
      <c r="R159" s="201"/>
      <c r="S159" s="201"/>
      <c r="T159" s="201"/>
      <c r="U159" s="201"/>
      <c r="V159" s="201"/>
      <c r="W159" s="201"/>
      <c r="X159" s="201"/>
      <c r="Y159" s="201"/>
      <c r="Z159" s="201"/>
      <c r="AA159" s="201"/>
      <c r="AB159" s="201"/>
      <c r="AC159" s="201"/>
      <c r="AD159" s="201"/>
      <c r="AE159" s="201"/>
    </row>
    <row r="160" spans="1:31" hidden="1">
      <c r="A160" s="201"/>
      <c r="B160" s="252"/>
      <c r="C160" s="252"/>
      <c r="D160" s="252"/>
      <c r="E160" s="252"/>
      <c r="F160" s="201"/>
      <c r="G160" s="201"/>
      <c r="H160" s="201"/>
      <c r="I160" s="201"/>
      <c r="J160" s="201"/>
      <c r="K160" s="201"/>
      <c r="L160" s="201"/>
      <c r="M160" s="201"/>
      <c r="N160" s="201"/>
      <c r="O160" s="201"/>
      <c r="P160" s="201"/>
      <c r="Q160" s="201"/>
      <c r="R160" s="201"/>
      <c r="S160" s="201"/>
      <c r="T160" s="201"/>
      <c r="U160" s="201"/>
      <c r="V160" s="201"/>
      <c r="W160" s="201"/>
      <c r="X160" s="201"/>
      <c r="Y160" s="201"/>
      <c r="Z160" s="201"/>
      <c r="AA160" s="201"/>
      <c r="AB160" s="201"/>
      <c r="AC160" s="201"/>
      <c r="AD160" s="201"/>
      <c r="AE160" s="201"/>
    </row>
    <row r="161" spans="1:31" hidden="1">
      <c r="A161" s="201"/>
      <c r="B161" s="252"/>
      <c r="C161" s="252"/>
      <c r="D161" s="252"/>
      <c r="E161" s="252"/>
      <c r="F161" s="201"/>
      <c r="G161" s="201"/>
      <c r="H161" s="201"/>
      <c r="I161" s="201"/>
      <c r="J161" s="201"/>
      <c r="K161" s="201"/>
      <c r="L161" s="201"/>
      <c r="M161" s="201"/>
      <c r="N161" s="201"/>
      <c r="O161" s="201"/>
      <c r="P161" s="201"/>
      <c r="Q161" s="201"/>
      <c r="R161" s="201"/>
      <c r="S161" s="201"/>
      <c r="T161" s="201"/>
      <c r="U161" s="201"/>
      <c r="V161" s="201"/>
      <c r="W161" s="201"/>
      <c r="X161" s="201"/>
      <c r="Y161" s="201"/>
      <c r="Z161" s="201"/>
      <c r="AA161" s="201"/>
      <c r="AB161" s="201"/>
      <c r="AC161" s="201"/>
      <c r="AD161" s="201"/>
      <c r="AE161" s="201"/>
    </row>
    <row r="162" spans="1:31" hidden="1">
      <c r="A162" s="201"/>
      <c r="B162" s="252"/>
      <c r="C162" s="252"/>
      <c r="D162" s="252"/>
      <c r="E162" s="252"/>
      <c r="F162" s="201"/>
      <c r="G162" s="201"/>
      <c r="H162" s="201"/>
      <c r="I162" s="201"/>
      <c r="J162" s="201"/>
      <c r="K162" s="201"/>
      <c r="L162" s="201"/>
      <c r="M162" s="201"/>
      <c r="N162" s="201"/>
      <c r="O162" s="201"/>
      <c r="P162" s="201"/>
      <c r="Q162" s="201"/>
      <c r="R162" s="201"/>
      <c r="S162" s="201"/>
      <c r="T162" s="201"/>
      <c r="U162" s="201"/>
      <c r="V162" s="201"/>
      <c r="W162" s="201"/>
      <c r="X162" s="201"/>
      <c r="Y162" s="201"/>
      <c r="Z162" s="201"/>
      <c r="AA162" s="201"/>
      <c r="AB162" s="201"/>
      <c r="AC162" s="201"/>
      <c r="AD162" s="201"/>
      <c r="AE162" s="201"/>
    </row>
    <row r="163" spans="1:31" hidden="1">
      <c r="A163" s="201"/>
      <c r="B163" s="252"/>
      <c r="C163" s="252"/>
      <c r="D163" s="252"/>
      <c r="E163" s="252"/>
      <c r="F163" s="201"/>
      <c r="G163" s="201"/>
      <c r="H163" s="201"/>
      <c r="I163" s="201"/>
      <c r="J163" s="201"/>
      <c r="K163" s="201"/>
      <c r="L163" s="201"/>
      <c r="M163" s="201"/>
      <c r="N163" s="201"/>
      <c r="O163" s="201"/>
      <c r="P163" s="201"/>
      <c r="Q163" s="201"/>
      <c r="R163" s="201"/>
      <c r="S163" s="201"/>
      <c r="T163" s="201"/>
      <c r="U163" s="201"/>
      <c r="V163" s="201"/>
      <c r="W163" s="201"/>
      <c r="X163" s="201"/>
      <c r="Y163" s="201"/>
      <c r="Z163" s="201"/>
      <c r="AA163" s="201"/>
      <c r="AB163" s="201"/>
      <c r="AC163" s="201"/>
      <c r="AD163" s="201"/>
      <c r="AE163" s="201"/>
    </row>
    <row r="164" spans="1:31" hidden="1">
      <c r="A164" s="201"/>
      <c r="B164" s="252"/>
      <c r="C164" s="252"/>
      <c r="D164" s="252"/>
      <c r="E164" s="252"/>
      <c r="F164" s="201"/>
      <c r="G164" s="201"/>
      <c r="H164" s="201"/>
      <c r="I164" s="201"/>
      <c r="J164" s="201"/>
      <c r="K164" s="201"/>
      <c r="L164" s="201"/>
      <c r="M164" s="201"/>
      <c r="N164" s="201"/>
      <c r="O164" s="201"/>
      <c r="P164" s="201"/>
      <c r="Q164" s="201"/>
      <c r="R164" s="201"/>
      <c r="S164" s="201"/>
      <c r="T164" s="201"/>
      <c r="U164" s="201"/>
      <c r="V164" s="201"/>
      <c r="W164" s="201"/>
      <c r="X164" s="201"/>
      <c r="Y164" s="201"/>
      <c r="Z164" s="201"/>
      <c r="AA164" s="201"/>
      <c r="AB164" s="201"/>
      <c r="AC164" s="201"/>
      <c r="AD164" s="201"/>
      <c r="AE164" s="201"/>
    </row>
    <row r="165" spans="1:31" hidden="1">
      <c r="A165" s="201"/>
      <c r="B165" s="252"/>
      <c r="C165" s="252"/>
      <c r="D165" s="252"/>
      <c r="E165" s="252"/>
      <c r="F165" s="201"/>
      <c r="G165" s="201"/>
      <c r="H165" s="201"/>
      <c r="I165" s="201"/>
      <c r="J165" s="201"/>
      <c r="K165" s="201"/>
      <c r="L165" s="201"/>
      <c r="M165" s="201"/>
      <c r="N165" s="201"/>
      <c r="O165" s="201"/>
      <c r="P165" s="201"/>
      <c r="Q165" s="201"/>
      <c r="R165" s="201"/>
      <c r="S165" s="201"/>
      <c r="T165" s="201"/>
      <c r="U165" s="201"/>
      <c r="V165" s="201"/>
      <c r="W165" s="201"/>
      <c r="X165" s="201"/>
      <c r="Y165" s="201"/>
      <c r="Z165" s="201"/>
      <c r="AA165" s="201"/>
      <c r="AB165" s="201"/>
      <c r="AC165" s="201"/>
      <c r="AD165" s="201"/>
      <c r="AE165" s="201"/>
    </row>
    <row r="166" spans="1:31" hidden="1">
      <c r="A166" s="201"/>
      <c r="B166" s="252"/>
      <c r="C166" s="252"/>
      <c r="D166" s="252"/>
      <c r="E166" s="252"/>
      <c r="F166" s="201"/>
      <c r="G166" s="201"/>
      <c r="H166" s="201"/>
      <c r="I166" s="201"/>
      <c r="J166" s="201"/>
      <c r="K166" s="201"/>
      <c r="L166" s="201"/>
      <c r="M166" s="201"/>
      <c r="N166" s="201"/>
      <c r="O166" s="201"/>
      <c r="P166" s="201"/>
      <c r="Q166" s="201"/>
      <c r="R166" s="201"/>
      <c r="S166" s="201"/>
      <c r="T166" s="201"/>
      <c r="U166" s="201"/>
      <c r="V166" s="201"/>
      <c r="W166" s="201"/>
      <c r="X166" s="201"/>
      <c r="Y166" s="201"/>
      <c r="Z166" s="201"/>
      <c r="AA166" s="201"/>
      <c r="AB166" s="201"/>
      <c r="AC166" s="201"/>
      <c r="AD166" s="201"/>
      <c r="AE166" s="201"/>
    </row>
    <row r="167" spans="1:31" hidden="1">
      <c r="B167" s="252"/>
      <c r="C167" s="252"/>
      <c r="D167" s="252"/>
      <c r="E167" s="252"/>
      <c r="F167" s="201"/>
      <c r="G167" s="201"/>
      <c r="H167" s="201"/>
      <c r="I167" s="201"/>
      <c r="J167" s="201"/>
      <c r="K167" s="201"/>
      <c r="L167" s="201"/>
      <c r="M167" s="201"/>
      <c r="N167" s="201"/>
      <c r="O167" s="201"/>
      <c r="P167" s="201"/>
      <c r="Q167" s="201"/>
      <c r="R167" s="201"/>
      <c r="S167" s="201"/>
      <c r="T167" s="201"/>
      <c r="U167" s="201"/>
      <c r="V167" s="201"/>
      <c r="W167" s="201"/>
      <c r="X167" s="201"/>
      <c r="Y167" s="201"/>
      <c r="Z167" s="201"/>
      <c r="AA167" s="201"/>
      <c r="AB167" s="201"/>
      <c r="AC167" s="201"/>
      <c r="AD167" s="201"/>
      <c r="AE167" s="201"/>
    </row>
    <row r="168" spans="1:31" hidden="1">
      <c r="B168" s="252"/>
      <c r="C168" s="252"/>
      <c r="D168" s="252"/>
      <c r="E168" s="252"/>
      <c r="F168" s="201"/>
      <c r="G168" s="201"/>
      <c r="H168" s="201"/>
      <c r="I168" s="201"/>
      <c r="J168" s="201"/>
      <c r="K168" s="201"/>
      <c r="L168" s="201"/>
      <c r="M168" s="201"/>
      <c r="N168" s="201"/>
      <c r="O168" s="201"/>
      <c r="P168" s="201"/>
      <c r="Q168" s="201"/>
      <c r="R168" s="201"/>
      <c r="S168" s="201"/>
      <c r="T168" s="201"/>
      <c r="U168" s="201"/>
      <c r="V168" s="201"/>
      <c r="W168" s="201"/>
      <c r="X168" s="201"/>
      <c r="Y168" s="201"/>
      <c r="Z168" s="201"/>
      <c r="AA168" s="201"/>
      <c r="AB168" s="201"/>
      <c r="AC168" s="201"/>
      <c r="AD168" s="201"/>
      <c r="AE168" s="201"/>
    </row>
    <row r="169" spans="1:31" hidden="1">
      <c r="B169" s="252"/>
      <c r="C169" s="252"/>
      <c r="D169" s="252"/>
      <c r="E169" s="252"/>
      <c r="F169" s="201"/>
      <c r="G169" s="201"/>
      <c r="H169" s="201"/>
      <c r="I169" s="201"/>
      <c r="J169" s="201"/>
      <c r="K169" s="201"/>
      <c r="L169" s="201"/>
      <c r="M169" s="201"/>
      <c r="N169" s="201"/>
      <c r="O169" s="201"/>
      <c r="P169" s="201"/>
      <c r="Q169" s="201"/>
      <c r="R169" s="201"/>
      <c r="S169" s="201"/>
      <c r="T169" s="201"/>
      <c r="U169" s="201"/>
      <c r="V169" s="201"/>
      <c r="W169" s="201"/>
      <c r="X169" s="201"/>
      <c r="Y169" s="201"/>
      <c r="Z169" s="201"/>
      <c r="AA169" s="201"/>
      <c r="AB169" s="201"/>
      <c r="AC169" s="201"/>
      <c r="AD169" s="201"/>
      <c r="AE169" s="201"/>
    </row>
    <row r="170" spans="1:31" hidden="1">
      <c r="B170" s="252"/>
      <c r="C170" s="252"/>
      <c r="D170" s="252"/>
      <c r="E170" s="252"/>
      <c r="F170" s="201"/>
      <c r="G170" s="201"/>
      <c r="H170" s="201"/>
      <c r="I170" s="201"/>
      <c r="J170" s="201"/>
      <c r="K170" s="201"/>
      <c r="L170" s="201"/>
      <c r="M170" s="201"/>
      <c r="N170" s="201"/>
      <c r="O170" s="201"/>
      <c r="P170" s="201"/>
      <c r="Q170" s="201"/>
      <c r="R170" s="201"/>
      <c r="S170" s="201"/>
      <c r="T170" s="201"/>
      <c r="U170" s="201"/>
      <c r="V170" s="201"/>
      <c r="W170" s="201"/>
      <c r="X170" s="201"/>
      <c r="Y170" s="201"/>
      <c r="Z170" s="201"/>
      <c r="AA170" s="201"/>
      <c r="AB170" s="201"/>
      <c r="AC170" s="201"/>
      <c r="AD170" s="201"/>
      <c r="AE170" s="201"/>
    </row>
    <row r="171" spans="1:31" hidden="1">
      <c r="B171" s="252"/>
      <c r="C171" s="252"/>
      <c r="D171" s="252"/>
      <c r="E171" s="252"/>
      <c r="F171" s="201"/>
      <c r="G171" s="201"/>
      <c r="H171" s="201"/>
      <c r="I171" s="201"/>
      <c r="J171" s="201"/>
      <c r="K171" s="201"/>
      <c r="L171" s="201"/>
      <c r="M171" s="201"/>
      <c r="N171" s="201"/>
      <c r="O171" s="201"/>
      <c r="P171" s="201"/>
      <c r="Q171" s="201"/>
      <c r="R171" s="201"/>
      <c r="S171" s="201"/>
      <c r="T171" s="201"/>
      <c r="U171" s="201"/>
      <c r="V171" s="201"/>
      <c r="W171" s="201"/>
      <c r="X171" s="201"/>
      <c r="Y171" s="201"/>
      <c r="Z171" s="201"/>
      <c r="AA171" s="201"/>
      <c r="AB171" s="201"/>
      <c r="AC171" s="201"/>
      <c r="AD171" s="201"/>
      <c r="AE171" s="201"/>
    </row>
    <row r="172" spans="1:31" hidden="1">
      <c r="B172" s="252"/>
      <c r="C172" s="252"/>
      <c r="D172" s="252"/>
      <c r="E172" s="252"/>
      <c r="F172" s="201"/>
      <c r="G172" s="201"/>
      <c r="H172" s="201"/>
      <c r="I172" s="201"/>
      <c r="J172" s="201"/>
      <c r="K172" s="201"/>
      <c r="L172" s="201"/>
      <c r="M172" s="201"/>
      <c r="N172" s="201"/>
      <c r="O172" s="201"/>
      <c r="P172" s="201"/>
      <c r="Q172" s="201"/>
      <c r="R172" s="201"/>
      <c r="S172" s="201"/>
      <c r="T172" s="201"/>
      <c r="U172" s="201"/>
      <c r="V172" s="201"/>
      <c r="W172" s="201"/>
      <c r="X172" s="201"/>
      <c r="Y172" s="201"/>
      <c r="Z172" s="201"/>
      <c r="AA172" s="201"/>
      <c r="AB172" s="201"/>
      <c r="AC172" s="201"/>
      <c r="AD172" s="201"/>
      <c r="AE172" s="201"/>
    </row>
    <row r="173" spans="1:31" hidden="1">
      <c r="B173" s="252"/>
      <c r="C173" s="252"/>
      <c r="D173" s="252"/>
      <c r="E173" s="252"/>
      <c r="F173" s="201"/>
      <c r="G173" s="201"/>
      <c r="H173" s="201"/>
      <c r="I173" s="201"/>
      <c r="J173" s="201"/>
      <c r="K173" s="201"/>
      <c r="L173" s="201"/>
      <c r="M173" s="201"/>
      <c r="N173" s="201"/>
      <c r="O173" s="201"/>
      <c r="P173" s="201"/>
      <c r="Q173" s="201"/>
      <c r="R173" s="201"/>
      <c r="S173" s="201"/>
      <c r="T173" s="201"/>
      <c r="U173" s="201"/>
      <c r="V173" s="201"/>
      <c r="W173" s="201"/>
      <c r="X173" s="201"/>
      <c r="Y173" s="201"/>
      <c r="Z173" s="201"/>
      <c r="AA173" s="201"/>
      <c r="AB173" s="201"/>
      <c r="AC173" s="201"/>
      <c r="AD173" s="201"/>
      <c r="AE173" s="201"/>
    </row>
    <row r="174" spans="1:31" hidden="1">
      <c r="B174" s="252"/>
      <c r="C174" s="252"/>
      <c r="D174" s="252"/>
      <c r="E174" s="252"/>
      <c r="F174" s="201"/>
      <c r="G174" s="201"/>
      <c r="H174" s="201"/>
      <c r="I174" s="201"/>
      <c r="J174" s="201"/>
      <c r="K174" s="201"/>
      <c r="L174" s="201"/>
      <c r="M174" s="201"/>
      <c r="N174" s="201"/>
      <c r="O174" s="201"/>
      <c r="P174" s="201"/>
      <c r="Q174" s="201"/>
      <c r="R174" s="201"/>
      <c r="S174" s="201"/>
      <c r="T174" s="201"/>
      <c r="U174" s="201"/>
      <c r="V174" s="201"/>
      <c r="W174" s="201"/>
      <c r="X174" s="201"/>
      <c r="Y174" s="201"/>
      <c r="Z174" s="201"/>
      <c r="AA174" s="201"/>
      <c r="AB174" s="201"/>
      <c r="AC174" s="201"/>
      <c r="AD174" s="201"/>
      <c r="AE174" s="201"/>
    </row>
    <row r="175" spans="1:31" hidden="1">
      <c r="B175" s="252"/>
      <c r="C175" s="252"/>
      <c r="D175" s="252"/>
      <c r="E175" s="252"/>
      <c r="F175" s="201"/>
      <c r="G175" s="201"/>
      <c r="H175" s="201"/>
      <c r="I175" s="201"/>
      <c r="J175" s="201"/>
      <c r="K175" s="201"/>
      <c r="L175" s="201"/>
      <c r="M175" s="201"/>
      <c r="N175" s="201"/>
      <c r="O175" s="201"/>
      <c r="P175" s="201"/>
      <c r="Q175" s="201"/>
      <c r="R175" s="201"/>
      <c r="S175" s="201"/>
      <c r="T175" s="201"/>
      <c r="U175" s="201"/>
      <c r="V175" s="201"/>
      <c r="W175" s="201"/>
      <c r="X175" s="201"/>
      <c r="Y175" s="201"/>
      <c r="Z175" s="201"/>
      <c r="AA175" s="201"/>
      <c r="AB175" s="201"/>
      <c r="AC175" s="201"/>
      <c r="AD175" s="201"/>
      <c r="AE175" s="201"/>
    </row>
    <row r="176" spans="1:31" hidden="1">
      <c r="B176" s="252"/>
      <c r="C176" s="252"/>
      <c r="D176" s="252"/>
      <c r="E176" s="252"/>
      <c r="F176" s="201"/>
      <c r="G176" s="201"/>
      <c r="H176" s="201"/>
      <c r="I176" s="201"/>
      <c r="J176" s="201"/>
      <c r="K176" s="201"/>
      <c r="L176" s="201"/>
      <c r="M176" s="201"/>
      <c r="N176" s="201"/>
      <c r="O176" s="201"/>
      <c r="P176" s="201"/>
      <c r="Q176" s="201"/>
      <c r="R176" s="201"/>
      <c r="S176" s="201"/>
      <c r="T176" s="201"/>
      <c r="U176" s="201"/>
      <c r="V176" s="201"/>
      <c r="W176" s="201"/>
      <c r="X176" s="201"/>
      <c r="Y176" s="201"/>
      <c r="Z176" s="201"/>
      <c r="AA176" s="201"/>
      <c r="AB176" s="201"/>
      <c r="AC176" s="201"/>
      <c r="AD176" s="201"/>
      <c r="AE176" s="201"/>
    </row>
    <row r="177" spans="2:31" hidden="1">
      <c r="B177" s="252"/>
      <c r="C177" s="252"/>
      <c r="D177" s="252"/>
      <c r="E177" s="252"/>
      <c r="F177" s="201"/>
      <c r="G177" s="201"/>
      <c r="H177" s="201"/>
      <c r="I177" s="201"/>
      <c r="J177" s="201"/>
      <c r="K177" s="201"/>
      <c r="L177" s="201"/>
      <c r="M177" s="201"/>
      <c r="N177" s="201"/>
      <c r="O177" s="201"/>
      <c r="P177" s="201"/>
      <c r="Q177" s="201"/>
      <c r="R177" s="201"/>
      <c r="S177" s="201"/>
      <c r="T177" s="201"/>
      <c r="U177" s="201"/>
      <c r="V177" s="201"/>
      <c r="W177" s="201"/>
      <c r="X177" s="201"/>
      <c r="Y177" s="201"/>
      <c r="Z177" s="201"/>
      <c r="AA177" s="201"/>
      <c r="AB177" s="201"/>
      <c r="AC177" s="201"/>
      <c r="AD177" s="201"/>
      <c r="AE177" s="201"/>
    </row>
    <row r="178" spans="2:31" hidden="1">
      <c r="B178" s="252"/>
      <c r="C178" s="252"/>
      <c r="D178" s="252"/>
      <c r="E178" s="252"/>
      <c r="F178" s="201"/>
      <c r="G178" s="201"/>
      <c r="H178" s="201"/>
      <c r="I178" s="201"/>
      <c r="J178" s="201"/>
      <c r="K178" s="201"/>
      <c r="L178" s="201"/>
      <c r="M178" s="201"/>
      <c r="N178" s="201"/>
      <c r="O178" s="201"/>
      <c r="P178" s="201"/>
      <c r="Q178" s="201"/>
      <c r="R178" s="201"/>
      <c r="S178" s="201"/>
      <c r="T178" s="201"/>
      <c r="U178" s="201"/>
      <c r="V178" s="201"/>
      <c r="W178" s="201"/>
      <c r="X178" s="201"/>
      <c r="Y178" s="201"/>
      <c r="Z178" s="201"/>
      <c r="AA178" s="201"/>
      <c r="AB178" s="201"/>
      <c r="AC178" s="201"/>
      <c r="AD178" s="201"/>
      <c r="AE178" s="201"/>
    </row>
    <row r="179" spans="2:31" hidden="1">
      <c r="B179" s="252"/>
      <c r="C179" s="252"/>
      <c r="D179" s="252"/>
      <c r="E179" s="252"/>
      <c r="F179" s="201"/>
      <c r="G179" s="201"/>
      <c r="H179" s="201"/>
      <c r="I179" s="201"/>
      <c r="J179" s="201"/>
      <c r="K179" s="201"/>
      <c r="L179" s="201"/>
      <c r="M179" s="201"/>
      <c r="N179" s="201"/>
      <c r="O179" s="201"/>
      <c r="P179" s="201"/>
      <c r="Q179" s="201"/>
      <c r="R179" s="201"/>
      <c r="S179" s="201"/>
      <c r="T179" s="201"/>
      <c r="U179" s="201"/>
      <c r="V179" s="201"/>
      <c r="W179" s="201"/>
      <c r="X179" s="201"/>
      <c r="Y179" s="201"/>
      <c r="Z179" s="201"/>
      <c r="AA179" s="201"/>
      <c r="AB179" s="201"/>
      <c r="AC179" s="201"/>
      <c r="AD179" s="201"/>
      <c r="AE179" s="201"/>
    </row>
    <row r="180" spans="2:31" hidden="1">
      <c r="B180" s="252"/>
      <c r="C180" s="252"/>
      <c r="D180" s="252"/>
      <c r="E180" s="252"/>
      <c r="F180" s="201"/>
      <c r="G180" s="201"/>
      <c r="H180" s="201"/>
      <c r="I180" s="201"/>
      <c r="J180" s="201"/>
      <c r="K180" s="201"/>
      <c r="L180" s="201"/>
      <c r="M180" s="201"/>
      <c r="N180" s="201"/>
      <c r="O180" s="201"/>
      <c r="P180" s="201"/>
      <c r="Q180" s="201"/>
      <c r="R180" s="201"/>
      <c r="S180" s="201"/>
      <c r="T180" s="201"/>
      <c r="U180" s="201"/>
      <c r="V180" s="201"/>
      <c r="W180" s="201"/>
      <c r="X180" s="201"/>
      <c r="Y180" s="201"/>
      <c r="Z180" s="201"/>
      <c r="AA180" s="201"/>
      <c r="AB180" s="201"/>
      <c r="AC180" s="201"/>
      <c r="AD180" s="201"/>
      <c r="AE180" s="201"/>
    </row>
    <row r="181" spans="2:31" hidden="1">
      <c r="B181" s="252"/>
      <c r="C181" s="252"/>
      <c r="D181" s="252"/>
      <c r="E181" s="252"/>
      <c r="F181" s="201"/>
      <c r="G181" s="201"/>
      <c r="H181" s="201"/>
      <c r="I181" s="201"/>
      <c r="J181" s="201"/>
      <c r="K181" s="201"/>
      <c r="L181" s="201"/>
      <c r="M181" s="201"/>
      <c r="N181" s="201"/>
      <c r="O181" s="201"/>
      <c r="P181" s="201"/>
      <c r="Q181" s="201"/>
      <c r="R181" s="201"/>
      <c r="S181" s="201"/>
      <c r="T181" s="201"/>
      <c r="U181" s="201"/>
      <c r="V181" s="201"/>
      <c r="W181" s="201"/>
      <c r="X181" s="201"/>
      <c r="Y181" s="201"/>
      <c r="Z181" s="201"/>
      <c r="AA181" s="201"/>
      <c r="AB181" s="201"/>
      <c r="AC181" s="201"/>
      <c r="AD181" s="201"/>
      <c r="AE181" s="201"/>
    </row>
    <row r="182" spans="2:31" hidden="1">
      <c r="B182" s="252"/>
      <c r="C182" s="252"/>
      <c r="D182" s="252"/>
      <c r="E182" s="252"/>
      <c r="F182" s="201"/>
      <c r="G182" s="201"/>
      <c r="H182" s="201"/>
      <c r="I182" s="201"/>
      <c r="J182" s="201"/>
      <c r="K182" s="201"/>
      <c r="L182" s="201"/>
      <c r="M182" s="201"/>
      <c r="N182" s="201"/>
      <c r="O182" s="201"/>
      <c r="P182" s="201"/>
      <c r="Q182" s="201"/>
      <c r="R182" s="201"/>
      <c r="S182" s="201"/>
      <c r="T182" s="201"/>
      <c r="U182" s="201"/>
      <c r="V182" s="201"/>
      <c r="W182" s="201"/>
      <c r="X182" s="201"/>
      <c r="Y182" s="201"/>
      <c r="Z182" s="201"/>
      <c r="AA182" s="201"/>
      <c r="AB182" s="201"/>
      <c r="AC182" s="201"/>
      <c r="AD182" s="201"/>
      <c r="AE182" s="201"/>
    </row>
    <row r="183" spans="2:31" hidden="1">
      <c r="B183" s="252"/>
      <c r="C183" s="252"/>
      <c r="D183" s="252"/>
      <c r="E183" s="252"/>
      <c r="F183" s="201"/>
      <c r="G183" s="201"/>
      <c r="H183" s="201"/>
      <c r="I183" s="201"/>
      <c r="J183" s="201"/>
      <c r="K183" s="201"/>
      <c r="L183" s="201"/>
      <c r="M183" s="201"/>
      <c r="N183" s="201"/>
      <c r="O183" s="201"/>
      <c r="P183" s="201"/>
      <c r="Q183" s="201"/>
      <c r="R183" s="201"/>
      <c r="S183" s="201"/>
      <c r="T183" s="201"/>
      <c r="U183" s="201"/>
      <c r="V183" s="201"/>
      <c r="W183" s="201"/>
      <c r="X183" s="201"/>
      <c r="Y183" s="201"/>
      <c r="Z183" s="201"/>
      <c r="AA183" s="201"/>
      <c r="AB183" s="201"/>
      <c r="AC183" s="201"/>
      <c r="AD183" s="201"/>
      <c r="AE183" s="201"/>
    </row>
    <row r="184" spans="2:31" hidden="1">
      <c r="B184" s="252"/>
      <c r="C184" s="252"/>
      <c r="D184" s="252"/>
      <c r="E184" s="252"/>
      <c r="F184" s="201"/>
      <c r="G184" s="201"/>
      <c r="H184" s="201"/>
      <c r="I184" s="201"/>
      <c r="J184" s="201"/>
      <c r="K184" s="201"/>
      <c r="L184" s="201"/>
      <c r="M184" s="201"/>
      <c r="N184" s="201"/>
      <c r="O184" s="201"/>
      <c r="P184" s="201"/>
      <c r="Q184" s="201"/>
      <c r="R184" s="201"/>
      <c r="S184" s="201"/>
      <c r="T184" s="201"/>
      <c r="U184" s="201"/>
      <c r="V184" s="201"/>
      <c r="W184" s="201"/>
      <c r="X184" s="201"/>
      <c r="Y184" s="201"/>
      <c r="Z184" s="201"/>
      <c r="AA184" s="201"/>
      <c r="AB184" s="201"/>
      <c r="AC184" s="201"/>
      <c r="AD184" s="201"/>
      <c r="AE184" s="201"/>
    </row>
    <row r="185" spans="2:31" hidden="1">
      <c r="B185" s="252"/>
      <c r="C185" s="252"/>
      <c r="D185" s="252"/>
      <c r="E185" s="252"/>
      <c r="F185" s="201"/>
      <c r="G185" s="201"/>
      <c r="H185" s="201"/>
      <c r="I185" s="201"/>
      <c r="J185" s="201"/>
      <c r="K185" s="201"/>
      <c r="L185" s="201"/>
      <c r="M185" s="201"/>
      <c r="N185" s="201"/>
      <c r="O185" s="201"/>
      <c r="P185" s="201"/>
      <c r="Q185" s="201"/>
      <c r="R185" s="201"/>
      <c r="S185" s="201"/>
      <c r="T185" s="201"/>
      <c r="U185" s="201"/>
      <c r="V185" s="201"/>
      <c r="W185" s="201"/>
      <c r="X185" s="201"/>
      <c r="Y185" s="201"/>
      <c r="Z185" s="201"/>
      <c r="AA185" s="201"/>
      <c r="AB185" s="201"/>
      <c r="AC185" s="201"/>
      <c r="AD185" s="201"/>
      <c r="AE185" s="201"/>
    </row>
    <row r="186" spans="2:31" hidden="1">
      <c r="B186" s="252"/>
      <c r="C186" s="252"/>
      <c r="D186" s="252"/>
      <c r="E186" s="252"/>
      <c r="F186" s="201"/>
      <c r="G186" s="201"/>
      <c r="H186" s="201"/>
      <c r="I186" s="201"/>
      <c r="J186" s="201"/>
      <c r="K186" s="201"/>
      <c r="L186" s="201"/>
      <c r="M186" s="201"/>
      <c r="N186" s="201"/>
      <c r="O186" s="201"/>
      <c r="P186" s="201"/>
      <c r="Q186" s="201"/>
      <c r="R186" s="201"/>
      <c r="S186" s="201"/>
      <c r="T186" s="201"/>
      <c r="U186" s="201"/>
      <c r="V186" s="201"/>
      <c r="W186" s="201"/>
      <c r="X186" s="201"/>
      <c r="Y186" s="201"/>
      <c r="Z186" s="201"/>
      <c r="AA186" s="201"/>
      <c r="AB186" s="201"/>
      <c r="AC186" s="201"/>
      <c r="AD186" s="201"/>
      <c r="AE186" s="201"/>
    </row>
    <row r="187" spans="2:31" hidden="1">
      <c r="B187" s="252"/>
      <c r="C187" s="252"/>
      <c r="D187" s="252"/>
      <c r="E187" s="252"/>
      <c r="F187" s="201"/>
      <c r="G187" s="201"/>
      <c r="H187" s="201"/>
      <c r="I187" s="201"/>
      <c r="J187" s="201"/>
      <c r="K187" s="201"/>
      <c r="L187" s="201"/>
      <c r="M187" s="201"/>
      <c r="N187" s="201"/>
      <c r="O187" s="201"/>
      <c r="P187" s="201"/>
      <c r="Q187" s="201"/>
      <c r="R187" s="201"/>
      <c r="S187" s="201"/>
      <c r="T187" s="201"/>
      <c r="U187" s="201"/>
      <c r="V187" s="201"/>
      <c r="W187" s="201"/>
      <c r="X187" s="201"/>
      <c r="Y187" s="201"/>
      <c r="Z187" s="201"/>
      <c r="AA187" s="201"/>
      <c r="AB187" s="201"/>
      <c r="AC187" s="201"/>
      <c r="AD187" s="201"/>
      <c r="AE187" s="201"/>
    </row>
    <row r="188" spans="2:31" hidden="1">
      <c r="B188" s="252"/>
      <c r="C188" s="252"/>
      <c r="D188" s="252"/>
      <c r="E188" s="252"/>
      <c r="F188" s="201"/>
      <c r="G188" s="201"/>
      <c r="H188" s="201"/>
      <c r="I188" s="201"/>
      <c r="J188" s="201"/>
      <c r="K188" s="201"/>
      <c r="L188" s="201"/>
      <c r="M188" s="201"/>
      <c r="N188" s="201"/>
      <c r="O188" s="201"/>
      <c r="P188" s="201"/>
      <c r="Q188" s="201"/>
      <c r="R188" s="201"/>
      <c r="S188" s="201"/>
      <c r="T188" s="201"/>
      <c r="U188" s="201"/>
      <c r="V188" s="201"/>
      <c r="W188" s="201"/>
      <c r="X188" s="201"/>
      <c r="Y188" s="201"/>
      <c r="Z188" s="201"/>
      <c r="AA188" s="201"/>
      <c r="AB188" s="201"/>
      <c r="AC188" s="201"/>
      <c r="AD188" s="201"/>
      <c r="AE188" s="201"/>
    </row>
    <row r="189" spans="2:31" hidden="1">
      <c r="B189" s="252"/>
      <c r="C189" s="252"/>
      <c r="D189" s="252"/>
      <c r="E189" s="252"/>
      <c r="F189" s="201"/>
      <c r="G189" s="201"/>
      <c r="H189" s="201"/>
      <c r="I189" s="201"/>
      <c r="J189" s="201"/>
      <c r="K189" s="201"/>
      <c r="L189" s="201"/>
      <c r="M189" s="201"/>
      <c r="N189" s="201"/>
      <c r="O189" s="201"/>
      <c r="P189" s="201"/>
      <c r="Q189" s="201"/>
      <c r="R189" s="201"/>
      <c r="S189" s="201"/>
      <c r="T189" s="201"/>
      <c r="U189" s="201"/>
      <c r="V189" s="201"/>
      <c r="W189" s="201"/>
      <c r="X189" s="201"/>
      <c r="Y189" s="201"/>
      <c r="Z189" s="201"/>
      <c r="AA189" s="201"/>
      <c r="AB189" s="201"/>
      <c r="AC189" s="201"/>
      <c r="AD189" s="201"/>
      <c r="AE189" s="201"/>
    </row>
    <row r="190" spans="2:31" hidden="1">
      <c r="B190" s="252"/>
      <c r="C190" s="252"/>
      <c r="D190" s="252"/>
      <c r="E190" s="252"/>
      <c r="F190" s="201"/>
      <c r="G190" s="201"/>
      <c r="H190" s="201"/>
      <c r="I190" s="201"/>
      <c r="J190" s="201"/>
      <c r="K190" s="201"/>
      <c r="L190" s="201"/>
      <c r="M190" s="201"/>
      <c r="N190" s="201"/>
      <c r="O190" s="201"/>
      <c r="P190" s="201"/>
      <c r="Q190" s="201"/>
      <c r="R190" s="201"/>
      <c r="S190" s="201"/>
      <c r="T190" s="201"/>
      <c r="U190" s="201"/>
      <c r="V190" s="201"/>
      <c r="W190" s="201"/>
      <c r="X190" s="201"/>
      <c r="Y190" s="201"/>
      <c r="Z190" s="201"/>
      <c r="AA190" s="201"/>
      <c r="AB190" s="201"/>
      <c r="AC190" s="201"/>
      <c r="AD190" s="201"/>
      <c r="AE190" s="201"/>
    </row>
    <row r="191" spans="2:31" hidden="1">
      <c r="B191" s="252"/>
      <c r="C191" s="252"/>
      <c r="D191" s="252"/>
      <c r="E191" s="252"/>
      <c r="F191" s="201"/>
      <c r="G191" s="201"/>
      <c r="H191" s="201"/>
      <c r="I191" s="201"/>
      <c r="J191" s="201"/>
      <c r="K191" s="201"/>
      <c r="L191" s="201"/>
      <c r="M191" s="201"/>
      <c r="N191" s="201"/>
      <c r="O191" s="201"/>
      <c r="P191" s="201"/>
      <c r="Q191" s="201"/>
      <c r="R191" s="201"/>
      <c r="S191" s="201"/>
      <c r="T191" s="201"/>
      <c r="U191" s="201"/>
      <c r="V191" s="201"/>
      <c r="W191" s="201"/>
      <c r="X191" s="201"/>
      <c r="Y191" s="201"/>
      <c r="Z191" s="201"/>
      <c r="AA191" s="201"/>
      <c r="AB191" s="201"/>
      <c r="AC191" s="201"/>
      <c r="AD191" s="201"/>
      <c r="AE191" s="201"/>
    </row>
    <row r="192" spans="2:31" hidden="1">
      <c r="B192" s="252"/>
      <c r="C192" s="252"/>
      <c r="D192" s="252"/>
      <c r="E192" s="252"/>
      <c r="F192" s="201"/>
      <c r="G192" s="201"/>
      <c r="H192" s="201"/>
      <c r="I192" s="201"/>
      <c r="J192" s="201"/>
      <c r="K192" s="201"/>
      <c r="L192" s="201"/>
      <c r="M192" s="201"/>
      <c r="N192" s="201"/>
      <c r="O192" s="201"/>
      <c r="P192" s="201"/>
      <c r="Q192" s="201"/>
      <c r="R192" s="201"/>
      <c r="S192" s="201"/>
      <c r="T192" s="201"/>
      <c r="U192" s="201"/>
      <c r="V192" s="201"/>
      <c r="W192" s="201"/>
      <c r="X192" s="201"/>
      <c r="Y192" s="201"/>
      <c r="Z192" s="201"/>
      <c r="AA192" s="201"/>
      <c r="AB192" s="201"/>
      <c r="AC192" s="201"/>
      <c r="AD192" s="201"/>
      <c r="AE192" s="201"/>
    </row>
    <row r="193" spans="2:31" hidden="1">
      <c r="B193" s="252"/>
      <c r="C193" s="252"/>
      <c r="D193" s="252"/>
      <c r="E193" s="252"/>
      <c r="F193" s="201"/>
      <c r="G193" s="201"/>
      <c r="H193" s="201"/>
      <c r="I193" s="201"/>
      <c r="J193" s="201"/>
      <c r="K193" s="201"/>
      <c r="L193" s="201"/>
      <c r="M193" s="201"/>
      <c r="N193" s="201"/>
      <c r="O193" s="201"/>
      <c r="P193" s="201"/>
      <c r="Q193" s="201"/>
      <c r="R193" s="201"/>
      <c r="S193" s="201"/>
      <c r="T193" s="201"/>
      <c r="U193" s="201"/>
      <c r="V193" s="201"/>
      <c r="W193" s="201"/>
      <c r="X193" s="201"/>
      <c r="Y193" s="201"/>
      <c r="Z193" s="201"/>
      <c r="AA193" s="201"/>
      <c r="AB193" s="201"/>
      <c r="AC193" s="201"/>
      <c r="AD193" s="201"/>
      <c r="AE193" s="201"/>
    </row>
    <row r="194" spans="2:31" hidden="1">
      <c r="B194" s="252"/>
      <c r="C194" s="252"/>
      <c r="D194" s="252"/>
      <c r="E194" s="252"/>
      <c r="F194" s="201"/>
      <c r="G194" s="201"/>
      <c r="H194" s="201"/>
      <c r="I194" s="201"/>
      <c r="J194" s="201"/>
      <c r="K194" s="201"/>
      <c r="L194" s="201"/>
      <c r="M194" s="201"/>
      <c r="N194" s="201"/>
      <c r="O194" s="201"/>
      <c r="P194" s="201"/>
      <c r="Q194" s="201"/>
      <c r="R194" s="201"/>
      <c r="S194" s="201"/>
      <c r="T194" s="201"/>
      <c r="U194" s="201"/>
      <c r="V194" s="201"/>
      <c r="W194" s="201"/>
      <c r="X194" s="201"/>
      <c r="Y194" s="201"/>
      <c r="Z194" s="201"/>
      <c r="AA194" s="201"/>
      <c r="AB194" s="201"/>
      <c r="AC194" s="201"/>
      <c r="AD194" s="201"/>
      <c r="AE194" s="201"/>
    </row>
    <row r="195" spans="2:31" hidden="1">
      <c r="B195" s="252"/>
      <c r="C195" s="252"/>
      <c r="D195" s="252"/>
      <c r="E195" s="252"/>
      <c r="F195" s="201"/>
      <c r="G195" s="201"/>
      <c r="H195" s="201"/>
      <c r="I195" s="201"/>
      <c r="J195" s="201"/>
      <c r="K195" s="201"/>
      <c r="L195" s="201"/>
      <c r="M195" s="201"/>
      <c r="N195" s="201"/>
      <c r="O195" s="201"/>
      <c r="P195" s="201"/>
      <c r="Q195" s="201"/>
      <c r="R195" s="201"/>
      <c r="S195" s="201"/>
      <c r="T195" s="201"/>
      <c r="U195" s="201"/>
      <c r="V195" s="201"/>
      <c r="W195" s="201"/>
      <c r="X195" s="201"/>
      <c r="Y195" s="201"/>
      <c r="Z195" s="201"/>
      <c r="AA195" s="201"/>
      <c r="AB195" s="201"/>
      <c r="AC195" s="201"/>
      <c r="AD195" s="201"/>
      <c r="AE195" s="201"/>
    </row>
    <row r="196" spans="2:31" hidden="1">
      <c r="B196" s="252"/>
      <c r="C196" s="252"/>
      <c r="D196" s="252"/>
      <c r="E196" s="252"/>
      <c r="F196" s="201"/>
      <c r="G196" s="201"/>
      <c r="H196" s="201"/>
      <c r="I196" s="201"/>
      <c r="J196" s="201"/>
      <c r="K196" s="201"/>
      <c r="L196" s="201"/>
      <c r="M196" s="201"/>
      <c r="N196" s="201"/>
      <c r="O196" s="201"/>
      <c r="P196" s="201"/>
      <c r="Q196" s="201"/>
      <c r="R196" s="201"/>
      <c r="S196" s="201"/>
      <c r="T196" s="201"/>
      <c r="U196" s="201"/>
      <c r="V196" s="201"/>
      <c r="W196" s="201"/>
      <c r="X196" s="201"/>
      <c r="Y196" s="201"/>
      <c r="Z196" s="201"/>
      <c r="AA196" s="201"/>
      <c r="AB196" s="201"/>
      <c r="AC196" s="201"/>
      <c r="AD196" s="201"/>
      <c r="AE196" s="201"/>
    </row>
    <row r="197" spans="2:31" hidden="1">
      <c r="B197" s="252"/>
      <c r="C197" s="252"/>
      <c r="D197" s="252"/>
      <c r="E197" s="252"/>
      <c r="F197" s="201"/>
      <c r="G197" s="201"/>
      <c r="H197" s="201"/>
      <c r="I197" s="201"/>
      <c r="J197" s="201"/>
      <c r="K197" s="201"/>
      <c r="L197" s="201"/>
      <c r="M197" s="201"/>
      <c r="N197" s="201"/>
      <c r="O197" s="201"/>
      <c r="P197" s="201"/>
      <c r="Q197" s="201"/>
      <c r="R197" s="201"/>
      <c r="S197" s="201"/>
      <c r="T197" s="201"/>
      <c r="U197" s="201"/>
      <c r="V197" s="201"/>
      <c r="W197" s="201"/>
      <c r="X197" s="201"/>
      <c r="Y197" s="201"/>
      <c r="Z197" s="201"/>
      <c r="AA197" s="201"/>
      <c r="AB197" s="201"/>
      <c r="AC197" s="201"/>
      <c r="AD197" s="201"/>
      <c r="AE197" s="201"/>
    </row>
    <row r="198" spans="2:31" hidden="1">
      <c r="B198" s="252"/>
      <c r="C198" s="252"/>
      <c r="D198" s="252"/>
      <c r="E198" s="252"/>
      <c r="F198" s="201"/>
      <c r="G198" s="201"/>
      <c r="H198" s="201"/>
      <c r="I198" s="201"/>
      <c r="J198" s="201"/>
      <c r="K198" s="201"/>
      <c r="L198" s="201"/>
      <c r="M198" s="201"/>
      <c r="N198" s="201"/>
      <c r="O198" s="201"/>
      <c r="P198" s="201"/>
      <c r="Q198" s="201"/>
      <c r="R198" s="201"/>
      <c r="S198" s="201"/>
      <c r="T198" s="201"/>
      <c r="U198" s="201"/>
      <c r="V198" s="201"/>
      <c r="W198" s="201"/>
      <c r="X198" s="201"/>
      <c r="Y198" s="201"/>
      <c r="Z198" s="201"/>
      <c r="AA198" s="201"/>
      <c r="AB198" s="201"/>
      <c r="AC198" s="201"/>
      <c r="AD198" s="201"/>
      <c r="AE198" s="201"/>
    </row>
    <row r="199" spans="2:31" hidden="1">
      <c r="B199" s="252"/>
      <c r="C199" s="252"/>
      <c r="D199" s="252"/>
      <c r="E199" s="252"/>
      <c r="F199" s="201"/>
      <c r="G199" s="201"/>
      <c r="H199" s="201"/>
      <c r="I199" s="201"/>
      <c r="J199" s="201"/>
      <c r="K199" s="201"/>
      <c r="L199" s="201"/>
      <c r="M199" s="201"/>
      <c r="N199" s="201"/>
      <c r="O199" s="201"/>
      <c r="P199" s="201"/>
      <c r="Q199" s="201"/>
      <c r="R199" s="201"/>
      <c r="S199" s="201"/>
      <c r="T199" s="201"/>
      <c r="U199" s="201"/>
      <c r="V199" s="201"/>
      <c r="W199" s="201"/>
      <c r="X199" s="201"/>
      <c r="Y199" s="201"/>
      <c r="Z199" s="201"/>
      <c r="AA199" s="201"/>
      <c r="AB199" s="201"/>
      <c r="AC199" s="201"/>
      <c r="AD199" s="201"/>
      <c r="AE199" s="201"/>
    </row>
    <row r="200" spans="2:31" hidden="1">
      <c r="B200" s="252"/>
      <c r="C200" s="252"/>
      <c r="D200" s="252"/>
      <c r="E200" s="252"/>
      <c r="F200" s="201"/>
      <c r="G200" s="201"/>
      <c r="H200" s="201"/>
      <c r="I200" s="201"/>
      <c r="J200" s="201"/>
      <c r="K200" s="201"/>
      <c r="L200" s="201"/>
      <c r="M200" s="201"/>
      <c r="N200" s="201"/>
      <c r="O200" s="201"/>
      <c r="P200" s="201"/>
      <c r="Q200" s="201"/>
      <c r="R200" s="201"/>
      <c r="S200" s="201"/>
      <c r="T200" s="201"/>
      <c r="U200" s="201"/>
      <c r="V200" s="201"/>
      <c r="W200" s="201"/>
      <c r="X200" s="201"/>
      <c r="Y200" s="201"/>
      <c r="Z200" s="201"/>
      <c r="AA200" s="201"/>
      <c r="AB200" s="201"/>
      <c r="AC200" s="201"/>
      <c r="AD200" s="201"/>
      <c r="AE200" s="201"/>
    </row>
    <row r="201" spans="2:31" hidden="1">
      <c r="B201" s="252"/>
      <c r="C201" s="252"/>
      <c r="D201" s="252"/>
      <c r="E201" s="252"/>
      <c r="F201" s="201"/>
      <c r="G201" s="201"/>
      <c r="H201" s="201"/>
      <c r="I201" s="201"/>
      <c r="J201" s="201"/>
      <c r="K201" s="201"/>
      <c r="L201" s="201"/>
      <c r="M201" s="201"/>
      <c r="N201" s="201"/>
      <c r="O201" s="201"/>
      <c r="P201" s="201"/>
      <c r="Q201" s="201"/>
      <c r="R201" s="201"/>
      <c r="S201" s="201"/>
      <c r="T201" s="201"/>
      <c r="U201" s="201"/>
      <c r="V201" s="201"/>
      <c r="W201" s="201"/>
      <c r="X201" s="201"/>
      <c r="Y201" s="201"/>
      <c r="Z201" s="201"/>
      <c r="AA201" s="201"/>
      <c r="AB201" s="201"/>
      <c r="AC201" s="201"/>
      <c r="AD201" s="201"/>
      <c r="AE201" s="201"/>
    </row>
    <row r="202" spans="2:31" hidden="1">
      <c r="K202" s="201"/>
      <c r="L202" s="201"/>
      <c r="M202" s="201"/>
      <c r="N202" s="201"/>
      <c r="O202" s="201"/>
      <c r="P202" s="201"/>
      <c r="Q202" s="201"/>
      <c r="R202" s="201"/>
      <c r="S202" s="201"/>
      <c r="T202" s="201"/>
      <c r="U202" s="201"/>
      <c r="V202" s="201"/>
      <c r="W202" s="201"/>
      <c r="X202" s="201"/>
      <c r="Y202" s="201"/>
      <c r="Z202" s="201"/>
      <c r="AA202" s="201"/>
      <c r="AB202" s="201"/>
      <c r="AC202" s="201"/>
      <c r="AD202" s="201"/>
      <c r="AE202" s="201"/>
    </row>
    <row r="203" spans="2:31" hidden="1">
      <c r="K203" s="201"/>
      <c r="L203" s="201"/>
      <c r="M203" s="201"/>
      <c r="N203" s="201"/>
      <c r="O203" s="201"/>
      <c r="P203" s="201"/>
      <c r="Q203" s="201"/>
      <c r="R203" s="201"/>
      <c r="S203" s="201"/>
      <c r="T203" s="201"/>
      <c r="U203" s="201"/>
      <c r="V203" s="201"/>
      <c r="W203" s="201"/>
      <c r="X203" s="201"/>
      <c r="Y203" s="201"/>
      <c r="Z203" s="201"/>
      <c r="AA203" s="201"/>
      <c r="AB203" s="201"/>
      <c r="AC203" s="201"/>
      <c r="AD203" s="201"/>
      <c r="AE203" s="201"/>
    </row>
    <row r="204" spans="2:31" hidden="1">
      <c r="K204" s="201"/>
      <c r="L204" s="201"/>
      <c r="M204" s="201"/>
      <c r="N204" s="201"/>
      <c r="O204" s="201"/>
      <c r="P204" s="201"/>
      <c r="Q204" s="201"/>
      <c r="R204" s="201"/>
      <c r="S204" s="201"/>
      <c r="T204" s="201"/>
      <c r="U204" s="201"/>
      <c r="V204" s="201"/>
      <c r="W204" s="201"/>
      <c r="X204" s="201"/>
      <c r="Y204" s="201"/>
      <c r="Z204" s="201"/>
      <c r="AA204" s="201"/>
      <c r="AB204" s="201"/>
      <c r="AC204" s="201"/>
      <c r="AD204" s="201"/>
      <c r="AE204" s="201"/>
    </row>
  </sheetData>
  <mergeCells count="6">
    <mergeCell ref="B57:C57"/>
    <mergeCell ref="C2:D2"/>
    <mergeCell ref="B5:E5"/>
    <mergeCell ref="B19:E19"/>
    <mergeCell ref="B37:E37"/>
    <mergeCell ref="B51:E51"/>
  </mergeCells>
  <pageMargins left="0.25" right="0.25" top="0.25" bottom="0.5" header="0.5" footer="0.25"/>
  <pageSetup orientation="portrait" r:id="rId1"/>
  <headerFooter alignWithMargins="0">
    <oddFooter>&amp;L&amp;"Arial,Italic"&amp;9EPA Climate Leaders Simplified GHG Emissions Calculator (Conversion Factors)&amp;R&amp;"Arial,Italic"&amp;9&amp;P of &amp;N</oddFooter>
  </headerFooter>
  <rowBreaks count="1" manualBreakCount="1">
    <brk id="5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7BA3B-8C6C-4432-902F-4ACE3B41289F}">
  <sheetPr codeName="Tabelle14">
    <tabColor theme="0" tint="-0.249977111117893"/>
  </sheetPr>
  <dimension ref="A1:K20"/>
  <sheetViews>
    <sheetView workbookViewId="0">
      <selection activeCell="A21" sqref="A21:XFD21"/>
    </sheetView>
  </sheetViews>
  <sheetFormatPr baseColWidth="10" defaultColWidth="0" defaultRowHeight="15" zeroHeight="1"/>
  <cols>
    <col min="1" max="11" width="11" customWidth="1"/>
    <col min="12" max="16384" width="11" hidden="1"/>
  </cols>
  <sheetData>
    <row r="1" spans="1:11" ht="23">
      <c r="A1" s="427" t="s">
        <v>514</v>
      </c>
      <c r="B1" s="427"/>
      <c r="C1" s="427"/>
      <c r="D1" s="427"/>
      <c r="E1" s="427"/>
      <c r="F1" s="427"/>
      <c r="G1" s="427"/>
      <c r="H1" s="427"/>
      <c r="I1" s="427"/>
      <c r="J1" s="427"/>
      <c r="K1" s="427"/>
    </row>
    <row r="2" spans="1:11">
      <c r="A2" s="144"/>
      <c r="B2" s="144"/>
      <c r="C2" s="144"/>
      <c r="D2" s="144"/>
      <c r="E2" s="144"/>
      <c r="F2" s="144"/>
      <c r="G2" s="144"/>
      <c r="H2" s="144"/>
      <c r="I2" s="144"/>
      <c r="J2" s="144"/>
      <c r="K2" s="144"/>
    </row>
    <row r="3" spans="1:11" ht="18" thickBot="1">
      <c r="A3" s="428" t="s">
        <v>515</v>
      </c>
      <c r="B3" s="428"/>
      <c r="C3" s="428"/>
      <c r="D3" s="428"/>
      <c r="E3" s="428"/>
      <c r="F3" s="428"/>
      <c r="G3" s="428"/>
      <c r="H3" s="428"/>
      <c r="I3" s="428"/>
      <c r="J3" s="428"/>
      <c r="K3" s="428"/>
    </row>
    <row r="4" spans="1:11" ht="16" thickTop="1">
      <c r="A4" s="144"/>
      <c r="B4" s="144"/>
      <c r="C4" s="144"/>
      <c r="D4" s="144"/>
      <c r="E4" s="144"/>
      <c r="F4" s="144"/>
      <c r="G4" s="144"/>
      <c r="H4" s="144"/>
      <c r="I4" s="144"/>
      <c r="J4" s="144"/>
      <c r="K4" s="144"/>
    </row>
    <row r="5" spans="1:11">
      <c r="A5" s="144"/>
      <c r="B5" s="144"/>
      <c r="C5" s="144"/>
      <c r="D5" s="144"/>
      <c r="E5" s="144"/>
      <c r="F5" s="144"/>
      <c r="G5" s="144"/>
      <c r="H5" s="144"/>
      <c r="I5" s="144"/>
      <c r="J5" s="144"/>
      <c r="K5" s="144"/>
    </row>
    <row r="6" spans="1:11">
      <c r="A6" s="144"/>
      <c r="B6" s="452" t="s">
        <v>516</v>
      </c>
      <c r="C6" s="452"/>
      <c r="D6" s="452"/>
      <c r="E6" s="452" t="s">
        <v>517</v>
      </c>
      <c r="F6" s="452"/>
      <c r="G6" s="452"/>
      <c r="H6" s="452"/>
      <c r="I6" s="452" t="s">
        <v>518</v>
      </c>
      <c r="J6" s="452"/>
      <c r="K6" s="144"/>
    </row>
    <row r="7" spans="1:11">
      <c r="A7" s="144"/>
      <c r="B7" s="453" t="s">
        <v>519</v>
      </c>
      <c r="C7" s="453"/>
      <c r="D7" s="453"/>
      <c r="E7" s="453" t="s">
        <v>520</v>
      </c>
      <c r="F7" s="453"/>
      <c r="G7" s="453"/>
      <c r="H7" s="453"/>
      <c r="I7" s="453" t="s">
        <v>414</v>
      </c>
      <c r="J7" s="453"/>
      <c r="K7" s="144"/>
    </row>
    <row r="8" spans="1:11">
      <c r="A8" s="144"/>
      <c r="B8" s="451" t="s">
        <v>521</v>
      </c>
      <c r="C8" s="451"/>
      <c r="D8" s="451"/>
      <c r="E8" s="451" t="s">
        <v>431</v>
      </c>
      <c r="F8" s="451"/>
      <c r="G8" s="451"/>
      <c r="H8" s="451"/>
      <c r="I8" s="451" t="s">
        <v>413</v>
      </c>
      <c r="J8" s="451"/>
      <c r="K8" s="144"/>
    </row>
    <row r="9" spans="1:11">
      <c r="A9" s="144"/>
      <c r="B9" s="453" t="s">
        <v>522</v>
      </c>
      <c r="C9" s="453"/>
      <c r="D9" s="453"/>
      <c r="E9" s="453" t="s">
        <v>523</v>
      </c>
      <c r="F9" s="453"/>
      <c r="G9" s="453"/>
      <c r="H9" s="453"/>
      <c r="I9" s="453" t="s">
        <v>413</v>
      </c>
      <c r="J9" s="453"/>
      <c r="K9" s="144"/>
    </row>
    <row r="10" spans="1:11">
      <c r="A10" s="144"/>
      <c r="B10" s="451" t="s">
        <v>77</v>
      </c>
      <c r="C10" s="451"/>
      <c r="D10" s="451"/>
      <c r="E10" s="451" t="s">
        <v>524</v>
      </c>
      <c r="F10" s="451"/>
      <c r="G10" s="451"/>
      <c r="H10" s="451"/>
      <c r="I10" s="451" t="s">
        <v>525</v>
      </c>
      <c r="J10" s="451"/>
      <c r="K10" s="144"/>
    </row>
    <row r="11" spans="1:11">
      <c r="A11" s="144"/>
      <c r="B11" s="453" t="s">
        <v>42</v>
      </c>
      <c r="C11" s="453"/>
      <c r="D11" s="453"/>
      <c r="E11" s="453" t="s">
        <v>520</v>
      </c>
      <c r="F11" s="453"/>
      <c r="G11" s="453"/>
      <c r="H11" s="453"/>
      <c r="I11" s="453" t="s">
        <v>413</v>
      </c>
      <c r="J11" s="453"/>
      <c r="K11" s="144"/>
    </row>
    <row r="12" spans="1:11">
      <c r="A12" s="144"/>
      <c r="B12" s="451" t="s">
        <v>61</v>
      </c>
      <c r="C12" s="451"/>
      <c r="D12" s="451"/>
      <c r="E12" s="451" t="s">
        <v>520</v>
      </c>
      <c r="F12" s="451"/>
      <c r="G12" s="451"/>
      <c r="H12" s="451"/>
      <c r="I12" s="451" t="s">
        <v>415</v>
      </c>
      <c r="J12" s="451"/>
      <c r="K12" s="144"/>
    </row>
    <row r="13" spans="1:11">
      <c r="B13" s="453" t="s">
        <v>392</v>
      </c>
      <c r="C13" s="453"/>
      <c r="D13" s="453"/>
      <c r="E13" s="453" t="s">
        <v>526</v>
      </c>
      <c r="F13" s="453"/>
      <c r="G13" s="453"/>
      <c r="H13" s="453"/>
      <c r="I13" s="453" t="s">
        <v>415</v>
      </c>
      <c r="J13" s="453"/>
      <c r="K13" s="144"/>
    </row>
    <row r="14" spans="1:11">
      <c r="A14" s="144"/>
      <c r="B14" s="451" t="s">
        <v>70</v>
      </c>
      <c r="C14" s="451"/>
      <c r="D14" s="451"/>
      <c r="E14" s="451" t="s">
        <v>520</v>
      </c>
      <c r="F14" s="451"/>
      <c r="G14" s="451"/>
      <c r="H14" s="451"/>
      <c r="I14" s="451" t="s">
        <v>415</v>
      </c>
      <c r="J14" s="451"/>
      <c r="K14" s="144"/>
    </row>
    <row r="15" spans="1:11">
      <c r="A15" s="144"/>
      <c r="B15" s="453" t="s">
        <v>527</v>
      </c>
      <c r="C15" s="453"/>
      <c r="D15" s="453"/>
      <c r="E15" s="453" t="s">
        <v>528</v>
      </c>
      <c r="F15" s="453"/>
      <c r="G15" s="453"/>
      <c r="H15" s="453"/>
      <c r="I15" s="453" t="s">
        <v>413</v>
      </c>
      <c r="J15" s="453"/>
      <c r="K15" s="144"/>
    </row>
    <row r="16" spans="1:11">
      <c r="A16" s="144"/>
      <c r="B16" s="451" t="s">
        <v>95</v>
      </c>
      <c r="C16" s="451"/>
      <c r="D16" s="451"/>
      <c r="E16" s="451" t="s">
        <v>421</v>
      </c>
      <c r="F16" s="451"/>
      <c r="G16" s="451"/>
      <c r="H16" s="451"/>
      <c r="I16" s="451" t="s">
        <v>413</v>
      </c>
      <c r="J16" s="451"/>
      <c r="K16" s="144"/>
    </row>
    <row r="17" spans="1:11">
      <c r="A17" s="144"/>
      <c r="B17" s="453" t="s">
        <v>395</v>
      </c>
      <c r="C17" s="453"/>
      <c r="D17" s="453"/>
      <c r="E17" s="453" t="s">
        <v>520</v>
      </c>
      <c r="F17" s="453"/>
      <c r="G17" s="453"/>
      <c r="H17" s="453"/>
      <c r="I17" s="453" t="s">
        <v>415</v>
      </c>
      <c r="J17" s="453"/>
      <c r="K17" s="144"/>
    </row>
    <row r="18" spans="1:11">
      <c r="A18" s="144"/>
      <c r="B18" s="451" t="s">
        <v>397</v>
      </c>
      <c r="C18" s="451"/>
      <c r="D18" s="451"/>
      <c r="E18" s="451" t="s">
        <v>520</v>
      </c>
      <c r="F18" s="451"/>
      <c r="G18" s="451"/>
      <c r="H18" s="451"/>
      <c r="I18" s="451" t="s">
        <v>415</v>
      </c>
      <c r="J18" s="451"/>
      <c r="K18" s="144"/>
    </row>
    <row r="19" spans="1:11">
      <c r="B19" s="144"/>
      <c r="C19" s="144"/>
      <c r="D19" s="144"/>
      <c r="E19" s="144"/>
      <c r="F19" s="144"/>
      <c r="G19" s="144"/>
      <c r="H19" s="144"/>
      <c r="I19" s="144"/>
      <c r="J19" s="144"/>
    </row>
    <row r="20" spans="1:11">
      <c r="A20" s="144"/>
      <c r="B20" s="144"/>
      <c r="C20" s="144"/>
      <c r="D20" s="144"/>
      <c r="E20" s="144"/>
      <c r="F20" s="144"/>
      <c r="G20" s="144"/>
      <c r="H20" s="144"/>
      <c r="I20" s="144"/>
      <c r="J20" s="144"/>
      <c r="K20" s="144"/>
    </row>
  </sheetData>
  <mergeCells count="41">
    <mergeCell ref="I18:J18"/>
    <mergeCell ref="A3:K3"/>
    <mergeCell ref="B8:D8"/>
    <mergeCell ref="E8:H8"/>
    <mergeCell ref="I8:J8"/>
    <mergeCell ref="E18:H18"/>
    <mergeCell ref="I6:J6"/>
    <mergeCell ref="I7:J7"/>
    <mergeCell ref="I9:J9"/>
    <mergeCell ref="I10:J10"/>
    <mergeCell ref="I11:J11"/>
    <mergeCell ref="I12:J12"/>
    <mergeCell ref="I14:J14"/>
    <mergeCell ref="I15:J15"/>
    <mergeCell ref="E17:H17"/>
    <mergeCell ref="B17:D17"/>
    <mergeCell ref="I17:J17"/>
    <mergeCell ref="B13:D13"/>
    <mergeCell ref="E13:H13"/>
    <mergeCell ref="I13:J13"/>
    <mergeCell ref="A1:K1"/>
    <mergeCell ref="B7:D7"/>
    <mergeCell ref="B9:D9"/>
    <mergeCell ref="I16:J16"/>
    <mergeCell ref="E12:H12"/>
    <mergeCell ref="E14:H14"/>
    <mergeCell ref="E15:H15"/>
    <mergeCell ref="E16:H16"/>
    <mergeCell ref="B18:D18"/>
    <mergeCell ref="B6:D6"/>
    <mergeCell ref="E6:H6"/>
    <mergeCell ref="E7:H7"/>
    <mergeCell ref="E9:H9"/>
    <mergeCell ref="E10:H10"/>
    <mergeCell ref="E11:H11"/>
    <mergeCell ref="B10:D10"/>
    <mergeCell ref="B11:D11"/>
    <mergeCell ref="B12:D12"/>
    <mergeCell ref="B14:D14"/>
    <mergeCell ref="B15:D15"/>
    <mergeCell ref="B16:D16"/>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B8FF0-25F9-48C5-941E-16A8A39A1D09}">
  <sheetPr codeName="Tabelle16">
    <tabColor rgb="FFFF0000"/>
  </sheetPr>
  <dimension ref="A1:N471"/>
  <sheetViews>
    <sheetView topLeftCell="A9" zoomScale="115" zoomScaleNormal="115" workbookViewId="0">
      <selection activeCell="B33" sqref="B33:I39"/>
    </sheetView>
  </sheetViews>
  <sheetFormatPr baseColWidth="10" defaultColWidth="0" defaultRowHeight="15" zeroHeight="1"/>
  <cols>
    <col min="1" max="2" width="11" customWidth="1"/>
    <col min="3" max="3" width="13.1640625" customWidth="1"/>
    <col min="4" max="4" width="15.1640625" customWidth="1"/>
    <col min="5" max="8" width="11" customWidth="1"/>
    <col min="9" max="9" width="22.5" customWidth="1"/>
    <col min="10" max="10" width="14.6640625" style="344" customWidth="1"/>
    <col min="11" max="11" width="11" customWidth="1"/>
    <col min="12" max="12" width="18.1640625" hidden="1" customWidth="1"/>
    <col min="13" max="13" width="16.33203125" hidden="1" customWidth="1"/>
    <col min="14" max="14" width="0" hidden="1" customWidth="1"/>
    <col min="15" max="16384" width="11" hidden="1"/>
  </cols>
  <sheetData>
    <row r="1" spans="1:11">
      <c r="A1" s="456"/>
      <c r="B1" s="456"/>
      <c r="C1" s="456"/>
      <c r="D1" s="456"/>
      <c r="E1" s="456"/>
      <c r="F1" s="456"/>
      <c r="G1" s="456"/>
      <c r="H1" s="456"/>
      <c r="I1" s="456"/>
      <c r="J1" s="456"/>
      <c r="K1" s="144"/>
    </row>
    <row r="2" spans="1:11" ht="23">
      <c r="A2" s="427" t="s">
        <v>529</v>
      </c>
      <c r="B2" s="427"/>
      <c r="C2" s="427"/>
      <c r="D2" s="427"/>
      <c r="E2" s="427"/>
      <c r="F2" s="427"/>
      <c r="G2" s="427"/>
      <c r="H2" s="427"/>
      <c r="I2" s="427"/>
      <c r="J2" s="427"/>
      <c r="K2" s="144"/>
    </row>
    <row r="3" spans="1:11">
      <c r="A3" s="456"/>
      <c r="B3" s="456"/>
      <c r="C3" s="456"/>
      <c r="D3" s="456"/>
      <c r="E3" s="456"/>
      <c r="F3" s="456"/>
      <c r="G3" s="456"/>
      <c r="H3" s="456"/>
      <c r="I3" s="456"/>
      <c r="J3" s="456"/>
      <c r="K3" s="144"/>
    </row>
    <row r="4" spans="1:11" ht="18" thickBot="1">
      <c r="A4" s="144"/>
      <c r="B4" s="428" t="s">
        <v>530</v>
      </c>
      <c r="C4" s="428"/>
      <c r="D4" s="428"/>
      <c r="E4" s="428"/>
      <c r="F4" s="428"/>
      <c r="G4" s="428"/>
      <c r="H4" s="428"/>
      <c r="I4" s="428"/>
      <c r="J4" s="339"/>
      <c r="K4" s="144"/>
    </row>
    <row r="5" spans="1:11" ht="16" thickTop="1">
      <c r="A5" s="456"/>
      <c r="B5" s="456"/>
      <c r="C5" s="456"/>
      <c r="D5" s="456"/>
      <c r="E5" s="456"/>
      <c r="F5" s="456"/>
      <c r="G5" s="456"/>
      <c r="H5" s="456"/>
      <c r="I5" s="456"/>
      <c r="J5" s="456"/>
      <c r="K5" s="144"/>
    </row>
    <row r="6" spans="1:11">
      <c r="A6" s="422" t="s">
        <v>531</v>
      </c>
      <c r="B6" s="422"/>
      <c r="C6" s="422"/>
      <c r="D6" s="422"/>
      <c r="E6" s="422"/>
      <c r="F6" s="422"/>
      <c r="G6" s="422"/>
      <c r="H6" s="422"/>
      <c r="I6" s="422"/>
      <c r="J6" s="422"/>
      <c r="K6" s="144"/>
    </row>
    <row r="7" spans="1:11">
      <c r="A7" s="422" t="s">
        <v>532</v>
      </c>
      <c r="B7" s="422"/>
      <c r="C7" s="422"/>
      <c r="D7" s="422"/>
      <c r="E7" s="422"/>
      <c r="F7" s="422"/>
      <c r="G7" s="422"/>
      <c r="H7" s="422"/>
      <c r="I7" s="422"/>
      <c r="J7" s="422"/>
      <c r="K7" s="144"/>
    </row>
    <row r="8" spans="1:11">
      <c r="A8" s="422" t="s">
        <v>533</v>
      </c>
      <c r="B8" s="422"/>
      <c r="C8" s="422"/>
      <c r="D8" s="422"/>
      <c r="E8" s="422"/>
      <c r="F8" s="422"/>
      <c r="G8" s="422"/>
      <c r="H8" s="422"/>
      <c r="I8" s="422"/>
      <c r="J8" s="422"/>
      <c r="K8" s="144"/>
    </row>
    <row r="9" spans="1:11">
      <c r="A9" s="422" t="s">
        <v>534</v>
      </c>
      <c r="B9" s="422"/>
      <c r="C9" s="422"/>
      <c r="D9" s="422"/>
      <c r="E9" s="422"/>
      <c r="F9" s="422"/>
      <c r="G9" s="422"/>
      <c r="H9" s="422"/>
      <c r="I9" s="422"/>
      <c r="J9" s="422"/>
      <c r="K9" s="144"/>
    </row>
    <row r="10" spans="1:11">
      <c r="A10" s="208"/>
      <c r="B10" s="422" t="s">
        <v>535</v>
      </c>
      <c r="C10" s="422"/>
      <c r="D10" s="422"/>
      <c r="E10" s="422"/>
      <c r="F10" s="422"/>
      <c r="G10" s="422"/>
      <c r="H10" s="422"/>
      <c r="I10" s="422"/>
      <c r="J10" s="340"/>
      <c r="K10" s="144"/>
    </row>
    <row r="11" spans="1:11">
      <c r="A11" s="144"/>
      <c r="B11" s="422" t="s">
        <v>536</v>
      </c>
      <c r="C11" s="422"/>
      <c r="D11" s="422"/>
      <c r="E11" s="422"/>
      <c r="F11" s="422"/>
      <c r="G11" s="422"/>
      <c r="H11" s="422"/>
      <c r="I11" s="422"/>
      <c r="J11" s="339"/>
      <c r="K11" s="144"/>
    </row>
    <row r="12" spans="1:11">
      <c r="A12" s="144"/>
      <c r="B12" s="425" t="s">
        <v>537</v>
      </c>
      <c r="C12" s="425"/>
      <c r="D12" s="425" t="s">
        <v>538</v>
      </c>
      <c r="E12" s="425"/>
      <c r="F12" s="425"/>
      <c r="G12" s="425"/>
      <c r="H12" s="144"/>
      <c r="I12" s="140" t="s">
        <v>539</v>
      </c>
      <c r="J12" s="339"/>
      <c r="K12" s="144"/>
    </row>
    <row r="13" spans="1:11">
      <c r="A13" s="144"/>
      <c r="B13" s="457" t="str">
        <f>IF(ISBLANK('Raw Material Usage'!$C12),"",_xlfn.XLOOKUP('Raw Material Usage'!$D12,Data!$BR$7:$BR$263,Data!$BS$7:$BS$263))</f>
        <v/>
      </c>
      <c r="C13" s="457"/>
      <c r="D13" s="457" t="str">
        <f>IF(ISBLANK('Raw Material Usage'!$C12),"",_xlfn.XLOOKUP('Raw Material Usage'!D12,Data!$BR$7:$BR$263,Data!$BU$7:$BU$263))</f>
        <v/>
      </c>
      <c r="E13" s="457"/>
      <c r="F13" s="457"/>
      <c r="G13" s="457"/>
      <c r="H13" s="144"/>
      <c r="I13" s="351" t="str">
        <f>IF(ISBLANK('Raw Material Usage'!$C12),"",'Raw Material Usage'!$E12/'Unit Conversions'!$D$12)</f>
        <v/>
      </c>
      <c r="J13" s="339"/>
      <c r="K13" s="144"/>
    </row>
    <row r="14" spans="1:11">
      <c r="A14" s="144"/>
      <c r="B14" s="454" t="s">
        <v>540</v>
      </c>
      <c r="C14" s="454" t="s">
        <v>541</v>
      </c>
      <c r="D14" s="454" t="s">
        <v>51</v>
      </c>
      <c r="E14" s="454" t="s">
        <v>51</v>
      </c>
      <c r="F14" s="454" t="s">
        <v>542</v>
      </c>
      <c r="G14" s="454" t="s">
        <v>51</v>
      </c>
      <c r="H14" s="458" t="s">
        <v>51</v>
      </c>
      <c r="I14" s="454" t="s">
        <v>543</v>
      </c>
      <c r="J14" s="339"/>
      <c r="K14" s="144"/>
    </row>
    <row r="15" spans="1:11" ht="17">
      <c r="A15" s="144"/>
      <c r="B15" s="455" t="s">
        <v>51</v>
      </c>
      <c r="C15" s="332" t="s">
        <v>544</v>
      </c>
      <c r="D15" s="332" t="s">
        <v>545</v>
      </c>
      <c r="E15" s="332" t="s">
        <v>546</v>
      </c>
      <c r="F15" s="332" t="s">
        <v>544</v>
      </c>
      <c r="G15" s="332" t="s">
        <v>545</v>
      </c>
      <c r="H15" s="332" t="s">
        <v>546</v>
      </c>
      <c r="I15" s="455" t="s">
        <v>51</v>
      </c>
      <c r="J15" s="341">
        <f>SUM(C16,F16,I16)</f>
        <v>0</v>
      </c>
      <c r="K15" s="144"/>
    </row>
    <row r="16" spans="1:11">
      <c r="A16" s="144"/>
      <c r="B16" s="352"/>
      <c r="C16" s="349"/>
      <c r="D16" s="349"/>
      <c r="E16" s="349"/>
      <c r="F16" s="349"/>
      <c r="G16" s="349"/>
      <c r="H16" s="349"/>
      <c r="I16" s="349"/>
      <c r="J16" s="341">
        <f t="shared" ref="J16:J26" si="0">SUM(C17,F17,I17)</f>
        <v>0</v>
      </c>
      <c r="K16" s="144"/>
    </row>
    <row r="17" spans="1:11">
      <c r="A17" s="144"/>
      <c r="B17" s="352"/>
      <c r="C17" s="349"/>
      <c r="D17" s="349"/>
      <c r="E17" s="349"/>
      <c r="F17" s="349"/>
      <c r="G17" s="349"/>
      <c r="H17" s="349"/>
      <c r="I17" s="349"/>
      <c r="J17" s="341">
        <f t="shared" si="0"/>
        <v>0</v>
      </c>
      <c r="K17" s="144"/>
    </row>
    <row r="18" spans="1:11">
      <c r="A18" s="144"/>
      <c r="B18" s="352"/>
      <c r="C18" s="349"/>
      <c r="D18" s="349"/>
      <c r="E18" s="349"/>
      <c r="F18" s="349"/>
      <c r="G18" s="349"/>
      <c r="H18" s="349"/>
      <c r="I18" s="349"/>
      <c r="J18" s="341">
        <f t="shared" si="0"/>
        <v>0</v>
      </c>
      <c r="K18" s="144"/>
    </row>
    <row r="19" spans="1:11">
      <c r="A19" s="144"/>
      <c r="B19" s="352"/>
      <c r="C19" s="349"/>
      <c r="D19" s="349"/>
      <c r="E19" s="349"/>
      <c r="F19" s="349"/>
      <c r="G19" s="349"/>
      <c r="H19" s="349"/>
      <c r="I19" s="349"/>
      <c r="J19" s="341">
        <f t="shared" si="0"/>
        <v>0</v>
      </c>
      <c r="K19" s="144"/>
    </row>
    <row r="20" spans="1:11">
      <c r="A20" s="144"/>
      <c r="B20" s="352"/>
      <c r="C20" s="349"/>
      <c r="D20" s="349"/>
      <c r="E20" s="349"/>
      <c r="F20" s="349"/>
      <c r="G20" s="349"/>
      <c r="H20" s="349"/>
      <c r="I20" s="349"/>
      <c r="J20" s="341">
        <f t="shared" si="0"/>
        <v>0</v>
      </c>
      <c r="K20" s="144"/>
    </row>
    <row r="21" spans="1:11">
      <c r="A21" s="144"/>
      <c r="B21" s="352"/>
      <c r="C21" s="349"/>
      <c r="D21" s="349"/>
      <c r="E21" s="349"/>
      <c r="F21" s="349"/>
      <c r="G21" s="349"/>
      <c r="H21" s="349"/>
      <c r="I21" s="349"/>
      <c r="J21" s="341">
        <f t="shared" si="0"/>
        <v>0</v>
      </c>
      <c r="K21" s="144"/>
    </row>
    <row r="22" spans="1:11">
      <c r="A22" s="144"/>
      <c r="B22" s="352"/>
      <c r="C22" s="349"/>
      <c r="D22" s="349"/>
      <c r="E22" s="349"/>
      <c r="F22" s="349"/>
      <c r="G22" s="349"/>
      <c r="H22" s="349"/>
      <c r="I22" s="349"/>
      <c r="J22" s="341">
        <f t="shared" si="0"/>
        <v>0</v>
      </c>
      <c r="K22" s="144"/>
    </row>
    <row r="23" spans="1:11">
      <c r="A23" s="144"/>
      <c r="B23" s="352"/>
      <c r="C23" s="349"/>
      <c r="D23" s="349"/>
      <c r="E23" s="349"/>
      <c r="F23" s="349"/>
      <c r="G23" s="349"/>
      <c r="H23" s="349"/>
      <c r="I23" s="349"/>
      <c r="J23" s="341">
        <f t="shared" si="0"/>
        <v>0</v>
      </c>
      <c r="K23" s="144"/>
    </row>
    <row r="24" spans="1:11">
      <c r="A24" s="144"/>
      <c r="B24" s="352"/>
      <c r="C24" s="349"/>
      <c r="D24" s="349"/>
      <c r="E24" s="349"/>
      <c r="F24" s="349"/>
      <c r="G24" s="349"/>
      <c r="H24" s="349"/>
      <c r="I24" s="349"/>
      <c r="J24" s="341">
        <f t="shared" si="0"/>
        <v>0</v>
      </c>
      <c r="K24" s="144"/>
    </row>
    <row r="25" spans="1:11">
      <c r="A25" s="144"/>
      <c r="B25" s="333"/>
      <c r="C25" s="334"/>
      <c r="D25" s="334"/>
      <c r="E25" s="334"/>
      <c r="F25" s="334"/>
      <c r="G25" s="334"/>
      <c r="H25" s="334"/>
      <c r="I25" s="335"/>
      <c r="J25" s="341">
        <f t="shared" si="0"/>
        <v>0</v>
      </c>
      <c r="K25" s="144"/>
    </row>
    <row r="26" spans="1:11" ht="16" thickBot="1">
      <c r="A26" s="144"/>
      <c r="B26" s="333"/>
      <c r="C26" s="334"/>
      <c r="D26" s="334"/>
      <c r="E26" s="334"/>
      <c r="F26" s="334"/>
      <c r="G26" s="334"/>
      <c r="H26" s="334"/>
      <c r="I26" s="335"/>
      <c r="J26" s="342">
        <f t="shared" si="0"/>
        <v>0</v>
      </c>
      <c r="K26" s="144"/>
    </row>
    <row r="27" spans="1:11" ht="16" thickBot="1">
      <c r="A27" s="144"/>
      <c r="B27" s="336"/>
      <c r="C27" s="337"/>
      <c r="D27" s="337"/>
      <c r="E27" s="337"/>
      <c r="F27" s="337"/>
      <c r="G27" s="337"/>
      <c r="H27" s="337"/>
      <c r="I27" s="338"/>
      <c r="J27" s="343">
        <f>SUM(J15:J26)</f>
        <v>0</v>
      </c>
      <c r="K27" s="144"/>
    </row>
    <row r="28" spans="1:11">
      <c r="A28" s="144"/>
      <c r="B28" s="144"/>
      <c r="C28" s="144"/>
      <c r="D28" s="144"/>
      <c r="E28" s="144"/>
      <c r="F28" s="144"/>
      <c r="G28" s="144"/>
      <c r="H28" s="144"/>
      <c r="I28" s="144"/>
      <c r="J28" s="339"/>
      <c r="K28" s="144"/>
    </row>
    <row r="29" spans="1:11">
      <c r="A29" s="144"/>
      <c r="B29" s="425" t="s">
        <v>537</v>
      </c>
      <c r="C29" s="425"/>
      <c r="D29" s="425" t="s">
        <v>538</v>
      </c>
      <c r="E29" s="425"/>
      <c r="F29" s="425"/>
      <c r="G29" s="425"/>
      <c r="H29" s="144"/>
      <c r="I29" s="140" t="s">
        <v>539</v>
      </c>
      <c r="J29" s="339"/>
      <c r="K29" s="144"/>
    </row>
    <row r="30" spans="1:11" ht="15" customHeight="1">
      <c r="A30" s="144"/>
      <c r="B30" s="457" t="str">
        <f>IF(ISBLANK('Raw Material Usage'!$C13),"",_xlfn.XLOOKUP('Raw Material Usage'!$D13,Data!$BR$7:$BR$263,Data!$BS$7:$BS$263))</f>
        <v/>
      </c>
      <c r="C30" s="457"/>
      <c r="D30" s="457" t="str">
        <f>IF(ISBLANK('Raw Material Usage'!$C13),"",_xlfn.XLOOKUP('Raw Material Usage'!D13,Data!$BR$7:$BR$263,Data!$BU$7:$BU$263))</f>
        <v/>
      </c>
      <c r="E30" s="457"/>
      <c r="F30" s="457"/>
      <c r="G30" s="457"/>
      <c r="H30" s="144"/>
      <c r="I30" s="351" t="str">
        <f>IF(ISBLANK('Raw Material Usage'!$C13),"",'Raw Material Usage'!$E13/'Unit Conversions'!$D$12)</f>
        <v/>
      </c>
      <c r="J30" s="339"/>
      <c r="K30" s="144"/>
    </row>
    <row r="31" spans="1:11">
      <c r="A31" s="144"/>
      <c r="B31" s="454" t="s">
        <v>540</v>
      </c>
      <c r="C31" s="454" t="s">
        <v>541</v>
      </c>
      <c r="D31" s="454" t="s">
        <v>51</v>
      </c>
      <c r="E31" s="454" t="s">
        <v>51</v>
      </c>
      <c r="F31" s="454" t="s">
        <v>542</v>
      </c>
      <c r="G31" s="454" t="s">
        <v>51</v>
      </c>
      <c r="H31" s="458" t="s">
        <v>51</v>
      </c>
      <c r="I31" s="454" t="s">
        <v>543</v>
      </c>
      <c r="J31" s="339"/>
      <c r="K31" s="144"/>
    </row>
    <row r="32" spans="1:11" ht="17">
      <c r="A32" s="144"/>
      <c r="B32" s="455" t="s">
        <v>51</v>
      </c>
      <c r="C32" s="332" t="s">
        <v>544</v>
      </c>
      <c r="D32" s="332" t="s">
        <v>545</v>
      </c>
      <c r="E32" s="332" t="s">
        <v>546</v>
      </c>
      <c r="F32" s="332" t="s">
        <v>544</v>
      </c>
      <c r="G32" s="332" t="s">
        <v>545</v>
      </c>
      <c r="H32" s="332" t="s">
        <v>546</v>
      </c>
      <c r="I32" s="455" t="s">
        <v>51</v>
      </c>
      <c r="J32" s="341">
        <f>SUM(C33,F33,I33)</f>
        <v>0</v>
      </c>
      <c r="K32" s="144"/>
    </row>
    <row r="33" spans="1:11">
      <c r="A33" s="144"/>
      <c r="B33" s="352"/>
      <c r="C33" s="349"/>
      <c r="D33" s="349"/>
      <c r="E33" s="349"/>
      <c r="F33" s="349"/>
      <c r="G33" s="349"/>
      <c r="H33" s="349"/>
      <c r="I33" s="349"/>
      <c r="J33" s="341">
        <f t="shared" ref="J33:J43" si="1">SUM(C34,F34,I34)</f>
        <v>0</v>
      </c>
      <c r="K33" s="144"/>
    </row>
    <row r="34" spans="1:11">
      <c r="A34" s="144"/>
      <c r="B34" s="352"/>
      <c r="C34" s="349"/>
      <c r="D34" s="349"/>
      <c r="E34" s="349"/>
      <c r="F34" s="349"/>
      <c r="G34" s="349"/>
      <c r="H34" s="349"/>
      <c r="I34" s="349"/>
      <c r="J34" s="341">
        <f t="shared" si="1"/>
        <v>0</v>
      </c>
      <c r="K34" s="144"/>
    </row>
    <row r="35" spans="1:11">
      <c r="A35" s="144"/>
      <c r="B35" s="352"/>
      <c r="C35" s="349"/>
      <c r="D35" s="349"/>
      <c r="E35" s="349"/>
      <c r="F35" s="349"/>
      <c r="G35" s="349"/>
      <c r="H35" s="349"/>
      <c r="I35" s="349"/>
      <c r="J35" s="341">
        <f t="shared" si="1"/>
        <v>0</v>
      </c>
      <c r="K35" s="144"/>
    </row>
    <row r="36" spans="1:11">
      <c r="A36" s="144"/>
      <c r="B36" s="352"/>
      <c r="C36" s="349"/>
      <c r="D36" s="349"/>
      <c r="E36" s="349"/>
      <c r="F36" s="349"/>
      <c r="G36" s="349"/>
      <c r="H36" s="349"/>
      <c r="I36" s="349"/>
      <c r="J36" s="341">
        <f t="shared" si="1"/>
        <v>0</v>
      </c>
      <c r="K36" s="144"/>
    </row>
    <row r="37" spans="1:11">
      <c r="A37" s="144"/>
      <c r="B37" s="352"/>
      <c r="C37" s="349"/>
      <c r="D37" s="349"/>
      <c r="E37" s="349"/>
      <c r="F37" s="349"/>
      <c r="G37" s="349"/>
      <c r="H37" s="349"/>
      <c r="I37" s="349"/>
      <c r="J37" s="341">
        <f t="shared" si="1"/>
        <v>0</v>
      </c>
      <c r="K37" s="144"/>
    </row>
    <row r="38" spans="1:11">
      <c r="A38" s="144"/>
      <c r="B38" s="352"/>
      <c r="C38" s="349"/>
      <c r="D38" s="349"/>
      <c r="E38" s="349"/>
      <c r="F38" s="349"/>
      <c r="G38" s="349"/>
      <c r="H38" s="349"/>
      <c r="I38" s="349"/>
      <c r="J38" s="341">
        <f t="shared" si="1"/>
        <v>0</v>
      </c>
      <c r="K38" s="144"/>
    </row>
    <row r="39" spans="1:11">
      <c r="A39" s="144"/>
      <c r="B39" s="352"/>
      <c r="C39" s="349"/>
      <c r="D39" s="349"/>
      <c r="E39" s="349"/>
      <c r="F39" s="349"/>
      <c r="G39" s="349"/>
      <c r="H39" s="349"/>
      <c r="I39" s="349"/>
      <c r="J39" s="341">
        <f t="shared" si="1"/>
        <v>0</v>
      </c>
      <c r="K39" s="144"/>
    </row>
    <row r="40" spans="1:11">
      <c r="A40" s="144"/>
      <c r="B40" s="333"/>
      <c r="C40" s="334"/>
      <c r="D40" s="334"/>
      <c r="E40" s="334"/>
      <c r="F40" s="334"/>
      <c r="G40" s="334"/>
      <c r="H40" s="334"/>
      <c r="I40" s="335"/>
      <c r="J40" s="341">
        <f t="shared" si="1"/>
        <v>0</v>
      </c>
      <c r="K40" s="144"/>
    </row>
    <row r="41" spans="1:11">
      <c r="A41" s="144"/>
      <c r="B41" s="333"/>
      <c r="C41" s="334"/>
      <c r="D41" s="334"/>
      <c r="E41" s="334"/>
      <c r="F41" s="334"/>
      <c r="G41" s="334"/>
      <c r="H41" s="334"/>
      <c r="I41" s="335"/>
      <c r="J41" s="341">
        <f t="shared" si="1"/>
        <v>0</v>
      </c>
      <c r="K41" s="144"/>
    </row>
    <row r="42" spans="1:11">
      <c r="A42" s="144"/>
      <c r="B42" s="333"/>
      <c r="C42" s="334"/>
      <c r="D42" s="334"/>
      <c r="E42" s="334"/>
      <c r="F42" s="334"/>
      <c r="G42" s="334"/>
      <c r="H42" s="334"/>
      <c r="I42" s="335"/>
      <c r="J42" s="341">
        <f t="shared" si="1"/>
        <v>0</v>
      </c>
      <c r="K42" s="144"/>
    </row>
    <row r="43" spans="1:11" ht="16" thickBot="1">
      <c r="A43" s="144"/>
      <c r="B43" s="333"/>
      <c r="C43" s="334"/>
      <c r="D43" s="334"/>
      <c r="E43" s="334"/>
      <c r="F43" s="334"/>
      <c r="G43" s="334"/>
      <c r="H43" s="334"/>
      <c r="I43" s="335"/>
      <c r="J43" s="342">
        <f t="shared" si="1"/>
        <v>0</v>
      </c>
      <c r="K43" s="144"/>
    </row>
    <row r="44" spans="1:11" ht="16" thickBot="1">
      <c r="A44" s="144"/>
      <c r="B44" s="336"/>
      <c r="C44" s="337"/>
      <c r="D44" s="337"/>
      <c r="E44" s="337"/>
      <c r="F44" s="337"/>
      <c r="G44" s="337"/>
      <c r="H44" s="337"/>
      <c r="I44" s="338"/>
      <c r="J44" s="343">
        <f>SUM(J32:J43)</f>
        <v>0</v>
      </c>
      <c r="K44" s="144"/>
    </row>
    <row r="45" spans="1:11">
      <c r="A45" s="144"/>
      <c r="B45" s="144"/>
      <c r="C45" s="144"/>
      <c r="D45" s="144"/>
      <c r="E45" s="144"/>
      <c r="F45" s="144"/>
      <c r="G45" s="144"/>
      <c r="H45" s="144"/>
      <c r="I45" s="144"/>
      <c r="J45" s="339"/>
      <c r="K45" s="144"/>
    </row>
    <row r="46" spans="1:11">
      <c r="A46" s="144"/>
      <c r="B46" s="425" t="s">
        <v>537</v>
      </c>
      <c r="C46" s="425"/>
      <c r="D46" s="425" t="s">
        <v>538</v>
      </c>
      <c r="E46" s="425"/>
      <c r="F46" s="425"/>
      <c r="G46" s="425"/>
      <c r="H46" s="144"/>
      <c r="I46" s="140" t="s">
        <v>539</v>
      </c>
      <c r="J46" s="339"/>
      <c r="K46" s="144"/>
    </row>
    <row r="47" spans="1:11" ht="15" customHeight="1">
      <c r="A47" s="144"/>
      <c r="B47" s="457" t="str">
        <f>IF(ISBLANK('Raw Material Usage'!$C14),"",_xlfn.XLOOKUP('Raw Material Usage'!$D14,Data!$BR$7:$BR$263,Data!$BS$7:$BS$263))</f>
        <v/>
      </c>
      <c r="C47" s="457"/>
      <c r="D47" s="457" t="str">
        <f>IF(ISBLANK('Raw Material Usage'!$C14),"",_xlfn.XLOOKUP('Raw Material Usage'!D14,Data!$BR$7:$BR$263,Data!$BU$7:$BU$263))</f>
        <v/>
      </c>
      <c r="E47" s="457"/>
      <c r="F47" s="457"/>
      <c r="G47" s="457"/>
      <c r="H47" s="144"/>
      <c r="I47" s="351" t="str">
        <f>IF(ISBLANK('Raw Material Usage'!$C14),"",'Raw Material Usage'!$E14/'Unit Conversions'!$D$12)</f>
        <v/>
      </c>
      <c r="J47" s="339"/>
      <c r="K47" s="144"/>
    </row>
    <row r="48" spans="1:11">
      <c r="A48" s="144"/>
      <c r="B48" s="454" t="s">
        <v>540</v>
      </c>
      <c r="C48" s="454" t="s">
        <v>541</v>
      </c>
      <c r="D48" s="454" t="s">
        <v>51</v>
      </c>
      <c r="E48" s="454" t="s">
        <v>51</v>
      </c>
      <c r="F48" s="454" t="s">
        <v>542</v>
      </c>
      <c r="G48" s="454" t="s">
        <v>51</v>
      </c>
      <c r="H48" s="458" t="s">
        <v>51</v>
      </c>
      <c r="I48" s="454" t="s">
        <v>543</v>
      </c>
      <c r="J48" s="339"/>
      <c r="K48" s="144"/>
    </row>
    <row r="49" spans="1:11" ht="18" thickBot="1">
      <c r="A49" s="144"/>
      <c r="B49" s="455" t="s">
        <v>51</v>
      </c>
      <c r="C49" s="332" t="s">
        <v>544</v>
      </c>
      <c r="D49" s="332" t="s">
        <v>545</v>
      </c>
      <c r="E49" s="332" t="s">
        <v>546</v>
      </c>
      <c r="F49" s="332" t="s">
        <v>544</v>
      </c>
      <c r="G49" s="332" t="s">
        <v>545</v>
      </c>
      <c r="H49" s="332" t="s">
        <v>546</v>
      </c>
      <c r="I49" s="455" t="s">
        <v>51</v>
      </c>
      <c r="J49" s="341">
        <f>SUM(C50,F50,I50)</f>
        <v>0</v>
      </c>
      <c r="K49" s="144"/>
    </row>
    <row r="50" spans="1:11">
      <c r="A50" s="144"/>
      <c r="B50" s="345"/>
      <c r="C50" s="346"/>
      <c r="D50" s="346"/>
      <c r="E50" s="346"/>
      <c r="F50" s="346"/>
      <c r="G50" s="346"/>
      <c r="H50" s="346"/>
      <c r="I50" s="347"/>
      <c r="J50" s="341">
        <f t="shared" ref="J50:J60" si="2">SUM(C51,F51,I51)</f>
        <v>0</v>
      </c>
      <c r="K50" s="144"/>
    </row>
    <row r="51" spans="1:11">
      <c r="A51" s="144"/>
      <c r="B51" s="348"/>
      <c r="C51" s="349"/>
      <c r="D51" s="349"/>
      <c r="E51" s="349"/>
      <c r="F51" s="349"/>
      <c r="G51" s="349"/>
      <c r="H51" s="349"/>
      <c r="I51" s="350"/>
      <c r="J51" s="341">
        <f t="shared" si="2"/>
        <v>0</v>
      </c>
      <c r="K51" s="144"/>
    </row>
    <row r="52" spans="1:11">
      <c r="A52" s="144"/>
      <c r="B52" s="348"/>
      <c r="C52" s="349"/>
      <c r="D52" s="349"/>
      <c r="E52" s="349"/>
      <c r="F52" s="349"/>
      <c r="G52" s="349"/>
      <c r="H52" s="349"/>
      <c r="I52" s="350"/>
      <c r="J52" s="341">
        <f t="shared" si="2"/>
        <v>0</v>
      </c>
      <c r="K52" s="144"/>
    </row>
    <row r="53" spans="1:11">
      <c r="A53" s="144"/>
      <c r="B53" s="348"/>
      <c r="C53" s="349"/>
      <c r="D53" s="349"/>
      <c r="E53" s="349"/>
      <c r="F53" s="349"/>
      <c r="G53" s="349"/>
      <c r="H53" s="349"/>
      <c r="I53" s="350"/>
      <c r="J53" s="341">
        <f t="shared" si="2"/>
        <v>0</v>
      </c>
      <c r="K53" s="144"/>
    </row>
    <row r="54" spans="1:11">
      <c r="A54" s="144"/>
      <c r="B54" s="348"/>
      <c r="C54" s="349"/>
      <c r="D54" s="349"/>
      <c r="E54" s="349"/>
      <c r="F54" s="349"/>
      <c r="G54" s="349"/>
      <c r="H54" s="349"/>
      <c r="I54" s="350"/>
      <c r="J54" s="341">
        <f t="shared" si="2"/>
        <v>0</v>
      </c>
      <c r="K54" s="144"/>
    </row>
    <row r="55" spans="1:11">
      <c r="A55" s="144"/>
      <c r="B55" s="348"/>
      <c r="C55" s="349"/>
      <c r="D55" s="349"/>
      <c r="E55" s="349"/>
      <c r="F55" s="349"/>
      <c r="G55" s="349"/>
      <c r="H55" s="349"/>
      <c r="I55" s="350"/>
      <c r="J55" s="341">
        <f t="shared" si="2"/>
        <v>0</v>
      </c>
      <c r="K55" s="144"/>
    </row>
    <row r="56" spans="1:11">
      <c r="A56" s="144"/>
      <c r="B56" s="348"/>
      <c r="C56" s="349"/>
      <c r="D56" s="349"/>
      <c r="E56" s="349"/>
      <c r="F56" s="349"/>
      <c r="G56" s="349"/>
      <c r="H56" s="349"/>
      <c r="I56" s="350"/>
      <c r="J56" s="341">
        <f t="shared" si="2"/>
        <v>0</v>
      </c>
      <c r="K56" s="144"/>
    </row>
    <row r="57" spans="1:11">
      <c r="A57" s="144"/>
      <c r="B57" s="333"/>
      <c r="C57" s="334"/>
      <c r="D57" s="334"/>
      <c r="E57" s="334"/>
      <c r="F57" s="334"/>
      <c r="G57" s="334"/>
      <c r="H57" s="334"/>
      <c r="I57" s="335"/>
      <c r="J57" s="341">
        <f t="shared" si="2"/>
        <v>0</v>
      </c>
      <c r="K57" s="144"/>
    </row>
    <row r="58" spans="1:11">
      <c r="A58" s="144"/>
      <c r="B58" s="333"/>
      <c r="C58" s="334"/>
      <c r="D58" s="334"/>
      <c r="E58" s="334"/>
      <c r="F58" s="334"/>
      <c r="G58" s="334"/>
      <c r="H58" s="334"/>
      <c r="I58" s="335"/>
      <c r="J58" s="341">
        <f t="shared" si="2"/>
        <v>0</v>
      </c>
      <c r="K58" s="144"/>
    </row>
    <row r="59" spans="1:11">
      <c r="A59" s="144"/>
      <c r="B59" s="333"/>
      <c r="C59" s="334"/>
      <c r="D59" s="334"/>
      <c r="E59" s="334"/>
      <c r="F59" s="334"/>
      <c r="G59" s="334"/>
      <c r="H59" s="334"/>
      <c r="I59" s="335"/>
      <c r="J59" s="341">
        <f t="shared" si="2"/>
        <v>0</v>
      </c>
      <c r="K59" s="144"/>
    </row>
    <row r="60" spans="1:11" ht="16" thickBot="1">
      <c r="A60" s="144"/>
      <c r="B60" s="333"/>
      <c r="C60" s="334"/>
      <c r="D60" s="334"/>
      <c r="E60" s="334"/>
      <c r="F60" s="334"/>
      <c r="G60" s="334"/>
      <c r="H60" s="334"/>
      <c r="I60" s="335"/>
      <c r="J60" s="342">
        <f t="shared" si="2"/>
        <v>0</v>
      </c>
      <c r="K60" s="144"/>
    </row>
    <row r="61" spans="1:11" ht="16" thickBot="1">
      <c r="A61" s="144"/>
      <c r="B61" s="336"/>
      <c r="C61" s="337"/>
      <c r="D61" s="337"/>
      <c r="E61" s="337"/>
      <c r="F61" s="337"/>
      <c r="G61" s="337"/>
      <c r="H61" s="337"/>
      <c r="I61" s="338"/>
      <c r="J61" s="343">
        <f>SUM(J49:J60)</f>
        <v>0</v>
      </c>
      <c r="K61" s="144"/>
    </row>
    <row r="62" spans="1:11">
      <c r="A62" s="144"/>
      <c r="B62" s="144"/>
      <c r="C62" s="144"/>
      <c r="D62" s="144"/>
      <c r="E62" s="144"/>
      <c r="F62" s="144"/>
      <c r="G62" s="144"/>
      <c r="H62" s="144"/>
      <c r="I62" s="144"/>
      <c r="J62" s="339"/>
      <c r="K62" s="144"/>
    </row>
    <row r="63" spans="1:11">
      <c r="A63" s="144"/>
      <c r="B63" s="425" t="s">
        <v>537</v>
      </c>
      <c r="C63" s="425"/>
      <c r="D63" s="425" t="s">
        <v>538</v>
      </c>
      <c r="E63" s="425"/>
      <c r="F63" s="425"/>
      <c r="G63" s="425"/>
      <c r="H63" s="144"/>
      <c r="I63" s="140" t="s">
        <v>539</v>
      </c>
      <c r="J63" s="339"/>
      <c r="K63" s="144"/>
    </row>
    <row r="64" spans="1:11">
      <c r="A64" s="144"/>
      <c r="B64" s="457" t="str">
        <f>IF(ISBLANK('Raw Material Usage'!$C15),"",_xlfn.XLOOKUP('Raw Material Usage'!$D15,Data!$BR$7:$BR$263,Data!$BS$7:$BS$263))</f>
        <v/>
      </c>
      <c r="C64" s="457"/>
      <c r="D64" s="457" t="str">
        <f>IF(ISBLANK('Raw Material Usage'!$C15),"",_xlfn.XLOOKUP('Raw Material Usage'!D15,Data!$BR$7:$BR$263,Data!$BU$7:$BU$263))</f>
        <v/>
      </c>
      <c r="E64" s="457"/>
      <c r="F64" s="457"/>
      <c r="G64" s="457"/>
      <c r="H64" s="144"/>
      <c r="I64" s="351" t="str">
        <f>IF(ISBLANK('Raw Material Usage'!$C15),"",'Raw Material Usage'!$E15/'Unit Conversions'!$D$12)</f>
        <v/>
      </c>
      <c r="J64" s="339"/>
      <c r="K64" s="144"/>
    </row>
    <row r="65" spans="1:11">
      <c r="A65" s="144"/>
      <c r="B65" s="454" t="s">
        <v>540</v>
      </c>
      <c r="C65" s="454" t="s">
        <v>541</v>
      </c>
      <c r="D65" s="454" t="s">
        <v>51</v>
      </c>
      <c r="E65" s="454" t="s">
        <v>51</v>
      </c>
      <c r="F65" s="454" t="s">
        <v>542</v>
      </c>
      <c r="G65" s="454" t="s">
        <v>51</v>
      </c>
      <c r="H65" s="458" t="s">
        <v>51</v>
      </c>
      <c r="I65" s="454" t="s">
        <v>543</v>
      </c>
      <c r="J65" s="339"/>
      <c r="K65" s="144"/>
    </row>
    <row r="66" spans="1:11" ht="18" thickBot="1">
      <c r="A66" s="144"/>
      <c r="B66" s="455" t="s">
        <v>51</v>
      </c>
      <c r="C66" s="332" t="s">
        <v>544</v>
      </c>
      <c r="D66" s="332" t="s">
        <v>545</v>
      </c>
      <c r="E66" s="332" t="s">
        <v>546</v>
      </c>
      <c r="F66" s="332" t="s">
        <v>544</v>
      </c>
      <c r="G66" s="332" t="s">
        <v>545</v>
      </c>
      <c r="H66" s="332" t="s">
        <v>546</v>
      </c>
      <c r="I66" s="455" t="s">
        <v>51</v>
      </c>
      <c r="J66" s="341">
        <f>SUM(C67,F67,I67)</f>
        <v>0</v>
      </c>
      <c r="K66" s="144"/>
    </row>
    <row r="67" spans="1:11">
      <c r="A67" s="144"/>
      <c r="B67" s="345"/>
      <c r="C67" s="346"/>
      <c r="D67" s="346"/>
      <c r="E67" s="346"/>
      <c r="F67" s="346"/>
      <c r="G67" s="346"/>
      <c r="H67" s="346"/>
      <c r="I67" s="347"/>
      <c r="J67" s="341">
        <f t="shared" ref="J67:J77" si="3">SUM(C68,F68,I68)</f>
        <v>0</v>
      </c>
      <c r="K67" s="144"/>
    </row>
    <row r="68" spans="1:11">
      <c r="A68" s="144"/>
      <c r="B68" s="348"/>
      <c r="C68" s="349"/>
      <c r="D68" s="349"/>
      <c r="E68" s="349"/>
      <c r="F68" s="349"/>
      <c r="G68" s="349"/>
      <c r="H68" s="349"/>
      <c r="I68" s="350"/>
      <c r="J68" s="341">
        <f t="shared" si="3"/>
        <v>0</v>
      </c>
      <c r="K68" s="144"/>
    </row>
    <row r="69" spans="1:11">
      <c r="A69" s="144"/>
      <c r="B69" s="348"/>
      <c r="C69" s="349"/>
      <c r="D69" s="349"/>
      <c r="E69" s="349"/>
      <c r="F69" s="349"/>
      <c r="G69" s="349"/>
      <c r="H69" s="349"/>
      <c r="I69" s="350"/>
      <c r="J69" s="341">
        <f t="shared" si="3"/>
        <v>0</v>
      </c>
      <c r="K69" s="144"/>
    </row>
    <row r="70" spans="1:11">
      <c r="A70" s="144"/>
      <c r="B70" s="348"/>
      <c r="C70" s="349"/>
      <c r="D70" s="349"/>
      <c r="E70" s="349"/>
      <c r="F70" s="349"/>
      <c r="G70" s="349"/>
      <c r="H70" s="349"/>
      <c r="I70" s="350"/>
      <c r="J70" s="341">
        <f t="shared" si="3"/>
        <v>0</v>
      </c>
      <c r="K70" s="144"/>
    </row>
    <row r="71" spans="1:11">
      <c r="A71" s="144"/>
      <c r="B71" s="348"/>
      <c r="C71" s="349"/>
      <c r="D71" s="349"/>
      <c r="E71" s="349"/>
      <c r="F71" s="349"/>
      <c r="G71" s="349"/>
      <c r="H71" s="349"/>
      <c r="I71" s="350"/>
      <c r="J71" s="341">
        <f t="shared" si="3"/>
        <v>0</v>
      </c>
      <c r="K71" s="144"/>
    </row>
    <row r="72" spans="1:11">
      <c r="A72" s="144"/>
      <c r="B72" s="348"/>
      <c r="C72" s="349"/>
      <c r="D72" s="349"/>
      <c r="E72" s="349"/>
      <c r="F72" s="349"/>
      <c r="G72" s="349"/>
      <c r="H72" s="349"/>
      <c r="I72" s="350"/>
      <c r="J72" s="341">
        <f t="shared" si="3"/>
        <v>0</v>
      </c>
      <c r="K72" s="144"/>
    </row>
    <row r="73" spans="1:11">
      <c r="A73" s="144"/>
      <c r="B73" s="348"/>
      <c r="C73" s="349"/>
      <c r="D73" s="349"/>
      <c r="E73" s="349"/>
      <c r="F73" s="349"/>
      <c r="G73" s="349"/>
      <c r="H73" s="349"/>
      <c r="I73" s="350"/>
      <c r="J73" s="341">
        <f t="shared" si="3"/>
        <v>0</v>
      </c>
      <c r="K73" s="144"/>
    </row>
    <row r="74" spans="1:11">
      <c r="A74" s="144"/>
      <c r="B74" s="333"/>
      <c r="C74" s="334"/>
      <c r="D74" s="334"/>
      <c r="E74" s="334"/>
      <c r="F74" s="334"/>
      <c r="G74" s="334"/>
      <c r="H74" s="334"/>
      <c r="I74" s="335"/>
      <c r="J74" s="341">
        <f t="shared" si="3"/>
        <v>0</v>
      </c>
      <c r="K74" s="144"/>
    </row>
    <row r="75" spans="1:11">
      <c r="A75" s="144"/>
      <c r="B75" s="333"/>
      <c r="C75" s="334"/>
      <c r="D75" s="334"/>
      <c r="E75" s="334"/>
      <c r="F75" s="334"/>
      <c r="G75" s="334"/>
      <c r="H75" s="334"/>
      <c r="I75" s="335"/>
      <c r="J75" s="341">
        <f t="shared" si="3"/>
        <v>0</v>
      </c>
      <c r="K75" s="144"/>
    </row>
    <row r="76" spans="1:11">
      <c r="A76" s="144"/>
      <c r="B76" s="333"/>
      <c r="C76" s="334"/>
      <c r="D76" s="334"/>
      <c r="E76" s="334"/>
      <c r="F76" s="334"/>
      <c r="G76" s="334"/>
      <c r="H76" s="334"/>
      <c r="I76" s="335"/>
      <c r="J76" s="341">
        <f t="shared" si="3"/>
        <v>0</v>
      </c>
      <c r="K76" s="144"/>
    </row>
    <row r="77" spans="1:11" ht="16" thickBot="1">
      <c r="A77" s="144"/>
      <c r="B77" s="333"/>
      <c r="C77" s="334"/>
      <c r="D77" s="334"/>
      <c r="E77" s="334"/>
      <c r="F77" s="334"/>
      <c r="G77" s="334"/>
      <c r="H77" s="334"/>
      <c r="I77" s="335"/>
      <c r="J77" s="342">
        <f t="shared" si="3"/>
        <v>0</v>
      </c>
      <c r="K77" s="144"/>
    </row>
    <row r="78" spans="1:11" ht="16" thickBot="1">
      <c r="A78" s="144"/>
      <c r="B78" s="336"/>
      <c r="C78" s="337"/>
      <c r="D78" s="337"/>
      <c r="E78" s="337"/>
      <c r="F78" s="337"/>
      <c r="G78" s="337"/>
      <c r="H78" s="337"/>
      <c r="I78" s="338"/>
      <c r="J78" s="343">
        <f>SUM(J66:J77)</f>
        <v>0</v>
      </c>
      <c r="K78" s="144"/>
    </row>
    <row r="79" spans="1:11">
      <c r="A79" s="144"/>
      <c r="B79" s="144"/>
      <c r="C79" s="144"/>
      <c r="D79" s="144"/>
      <c r="E79" s="144"/>
      <c r="F79" s="144"/>
      <c r="G79" s="144"/>
      <c r="H79" s="144"/>
      <c r="I79" s="144"/>
      <c r="J79" s="339"/>
      <c r="K79" s="144"/>
    </row>
    <row r="80" spans="1:11">
      <c r="A80" s="144"/>
      <c r="B80" s="425" t="s">
        <v>537</v>
      </c>
      <c r="C80" s="425"/>
      <c r="D80" s="425" t="s">
        <v>538</v>
      </c>
      <c r="E80" s="425"/>
      <c r="F80" s="425"/>
      <c r="G80" s="425"/>
      <c r="H80" s="144"/>
      <c r="I80" s="140" t="s">
        <v>539</v>
      </c>
      <c r="J80" s="339"/>
      <c r="K80" s="144"/>
    </row>
    <row r="81" spans="1:11">
      <c r="A81" s="144"/>
      <c r="B81" s="457" t="str">
        <f>IF(ISBLANK('Raw Material Usage'!$C16),"",_xlfn.XLOOKUP('Raw Material Usage'!$D16,Data!$BR$7:$BR$263,Data!$BS$7:$BS$263))</f>
        <v/>
      </c>
      <c r="C81" s="457"/>
      <c r="D81" s="457" t="str">
        <f>IF(ISBLANK('Raw Material Usage'!$C16),"",_xlfn.XLOOKUP('Raw Material Usage'!D16,Data!$BR$7:$BR$263,Data!$BU$7:$BU$263))</f>
        <v/>
      </c>
      <c r="E81" s="457"/>
      <c r="F81" s="457"/>
      <c r="G81" s="457"/>
      <c r="H81" s="144"/>
      <c r="I81" s="351" t="str">
        <f>IF(ISBLANK('Raw Material Usage'!$C16),"",'Raw Material Usage'!$E16/'Unit Conversions'!$D$12)</f>
        <v/>
      </c>
      <c r="J81" s="339"/>
      <c r="K81" s="144"/>
    </row>
    <row r="82" spans="1:11">
      <c r="A82" s="144"/>
      <c r="B82" s="454" t="s">
        <v>540</v>
      </c>
      <c r="C82" s="454" t="s">
        <v>541</v>
      </c>
      <c r="D82" s="454" t="s">
        <v>51</v>
      </c>
      <c r="E82" s="454" t="s">
        <v>51</v>
      </c>
      <c r="F82" s="454" t="s">
        <v>542</v>
      </c>
      <c r="G82" s="454" t="s">
        <v>51</v>
      </c>
      <c r="H82" s="458" t="s">
        <v>51</v>
      </c>
      <c r="I82" s="454" t="s">
        <v>543</v>
      </c>
      <c r="J82" s="339"/>
      <c r="K82" s="144"/>
    </row>
    <row r="83" spans="1:11" ht="18" thickBot="1">
      <c r="A83" s="144"/>
      <c r="B83" s="455" t="s">
        <v>51</v>
      </c>
      <c r="C83" s="332" t="s">
        <v>544</v>
      </c>
      <c r="D83" s="332" t="s">
        <v>545</v>
      </c>
      <c r="E83" s="332" t="s">
        <v>546</v>
      </c>
      <c r="F83" s="332" t="s">
        <v>544</v>
      </c>
      <c r="G83" s="332" t="s">
        <v>545</v>
      </c>
      <c r="H83" s="332" t="s">
        <v>546</v>
      </c>
      <c r="I83" s="455" t="s">
        <v>51</v>
      </c>
      <c r="J83" s="341">
        <f>SUM(C84,F84,I84)</f>
        <v>0</v>
      </c>
      <c r="K83" s="144"/>
    </row>
    <row r="84" spans="1:11">
      <c r="A84" s="144"/>
      <c r="B84" s="345"/>
      <c r="C84" s="346"/>
      <c r="D84" s="346"/>
      <c r="E84" s="346"/>
      <c r="F84" s="346"/>
      <c r="G84" s="346"/>
      <c r="H84" s="346"/>
      <c r="I84" s="347"/>
      <c r="J84" s="341">
        <f t="shared" ref="J84:J94" si="4">SUM(C85,F85,I85)</f>
        <v>0</v>
      </c>
      <c r="K84" s="144"/>
    </row>
    <row r="85" spans="1:11">
      <c r="A85" s="144"/>
      <c r="B85" s="348"/>
      <c r="C85" s="349"/>
      <c r="D85" s="349"/>
      <c r="E85" s="349"/>
      <c r="F85" s="349"/>
      <c r="G85" s="349"/>
      <c r="H85" s="349"/>
      <c r="I85" s="350"/>
      <c r="J85" s="341">
        <f t="shared" si="4"/>
        <v>0</v>
      </c>
      <c r="K85" s="144"/>
    </row>
    <row r="86" spans="1:11">
      <c r="A86" s="144"/>
      <c r="B86" s="348"/>
      <c r="C86" s="349"/>
      <c r="D86" s="349"/>
      <c r="E86" s="349"/>
      <c r="F86" s="349"/>
      <c r="G86" s="349"/>
      <c r="H86" s="349"/>
      <c r="I86" s="350"/>
      <c r="J86" s="341">
        <f t="shared" si="4"/>
        <v>0</v>
      </c>
      <c r="K86" s="144"/>
    </row>
    <row r="87" spans="1:11">
      <c r="A87" s="144"/>
      <c r="B87" s="348"/>
      <c r="C87" s="349"/>
      <c r="D87" s="349"/>
      <c r="E87" s="349"/>
      <c r="F87" s="349"/>
      <c r="G87" s="349"/>
      <c r="H87" s="349"/>
      <c r="I87" s="350"/>
      <c r="J87" s="341">
        <f t="shared" si="4"/>
        <v>0</v>
      </c>
      <c r="K87" s="144"/>
    </row>
    <row r="88" spans="1:11">
      <c r="A88" s="144"/>
      <c r="B88" s="348"/>
      <c r="C88" s="349"/>
      <c r="D88" s="349"/>
      <c r="E88" s="349"/>
      <c r="F88" s="349"/>
      <c r="G88" s="349"/>
      <c r="H88" s="349"/>
      <c r="I88" s="350"/>
      <c r="J88" s="341">
        <f t="shared" si="4"/>
        <v>0</v>
      </c>
      <c r="K88" s="144"/>
    </row>
    <row r="89" spans="1:11">
      <c r="A89" s="144"/>
      <c r="B89" s="348"/>
      <c r="C89" s="349"/>
      <c r="D89" s="349"/>
      <c r="E89" s="349"/>
      <c r="F89" s="349"/>
      <c r="G89" s="349"/>
      <c r="H89" s="349"/>
      <c r="I89" s="350"/>
      <c r="J89" s="341">
        <f t="shared" si="4"/>
        <v>0</v>
      </c>
      <c r="K89" s="144"/>
    </row>
    <row r="90" spans="1:11">
      <c r="A90" s="144"/>
      <c r="B90" s="348"/>
      <c r="C90" s="349"/>
      <c r="D90" s="349"/>
      <c r="E90" s="349"/>
      <c r="F90" s="349"/>
      <c r="G90" s="349"/>
      <c r="H90" s="349"/>
      <c r="I90" s="350"/>
      <c r="J90" s="341">
        <f t="shared" si="4"/>
        <v>0</v>
      </c>
      <c r="K90" s="144"/>
    </row>
    <row r="91" spans="1:11">
      <c r="A91" s="144"/>
      <c r="B91" s="333"/>
      <c r="C91" s="334"/>
      <c r="D91" s="334"/>
      <c r="E91" s="334"/>
      <c r="F91" s="334"/>
      <c r="G91" s="334"/>
      <c r="H91" s="334"/>
      <c r="I91" s="335"/>
      <c r="J91" s="341">
        <f t="shared" si="4"/>
        <v>0</v>
      </c>
      <c r="K91" s="144"/>
    </row>
    <row r="92" spans="1:11">
      <c r="A92" s="144"/>
      <c r="B92" s="333"/>
      <c r="C92" s="334"/>
      <c r="D92" s="334"/>
      <c r="E92" s="334"/>
      <c r="F92" s="334"/>
      <c r="G92" s="334"/>
      <c r="H92" s="334"/>
      <c r="I92" s="335"/>
      <c r="J92" s="341">
        <f t="shared" si="4"/>
        <v>0</v>
      </c>
      <c r="K92" s="144"/>
    </row>
    <row r="93" spans="1:11">
      <c r="A93" s="144"/>
      <c r="B93" s="333"/>
      <c r="C93" s="334"/>
      <c r="D93" s="334"/>
      <c r="E93" s="334"/>
      <c r="F93" s="334"/>
      <c r="G93" s="334"/>
      <c r="H93" s="334"/>
      <c r="I93" s="335"/>
      <c r="J93" s="341">
        <f t="shared" si="4"/>
        <v>0</v>
      </c>
      <c r="K93" s="144"/>
    </row>
    <row r="94" spans="1:11" ht="16" thickBot="1">
      <c r="A94" s="144"/>
      <c r="B94" s="333"/>
      <c r="C94" s="334"/>
      <c r="D94" s="334"/>
      <c r="E94" s="334"/>
      <c r="F94" s="334"/>
      <c r="G94" s="334"/>
      <c r="H94" s="334"/>
      <c r="I94" s="335"/>
      <c r="J94" s="342">
        <f t="shared" si="4"/>
        <v>0</v>
      </c>
      <c r="K94" s="144"/>
    </row>
    <row r="95" spans="1:11" ht="16" thickBot="1">
      <c r="A95" s="144"/>
      <c r="B95" s="336"/>
      <c r="C95" s="337"/>
      <c r="D95" s="337"/>
      <c r="E95" s="337"/>
      <c r="F95" s="337"/>
      <c r="G95" s="337"/>
      <c r="H95" s="337"/>
      <c r="I95" s="338"/>
      <c r="J95" s="343">
        <f>SUM(J83:J94)</f>
        <v>0</v>
      </c>
      <c r="K95" s="144"/>
    </row>
    <row r="96" spans="1:11">
      <c r="A96" s="144"/>
      <c r="B96" s="144"/>
      <c r="C96" s="144"/>
      <c r="D96" s="144"/>
      <c r="E96" s="144"/>
      <c r="F96" s="144"/>
      <c r="G96" s="144"/>
      <c r="H96" s="144"/>
      <c r="I96" s="144"/>
      <c r="J96" s="339"/>
      <c r="K96" s="144"/>
    </row>
    <row r="97" spans="1:11">
      <c r="A97" s="144"/>
      <c r="B97" s="425" t="s">
        <v>537</v>
      </c>
      <c r="C97" s="425"/>
      <c r="D97" s="425" t="s">
        <v>538</v>
      </c>
      <c r="E97" s="425"/>
      <c r="F97" s="425"/>
      <c r="G97" s="425"/>
      <c r="H97" s="144"/>
      <c r="I97" s="140" t="s">
        <v>539</v>
      </c>
      <c r="J97" s="339"/>
      <c r="K97" s="144"/>
    </row>
    <row r="98" spans="1:11">
      <c r="A98" s="144"/>
      <c r="B98" s="457" t="str">
        <f>IF(ISBLANK('Raw Material Usage'!$C17),"",_xlfn.XLOOKUP('Raw Material Usage'!$D17,Data!$BR$7:$BR$263,Data!$BS$7:$BS$263))</f>
        <v/>
      </c>
      <c r="C98" s="457"/>
      <c r="D98" s="457" t="str">
        <f>IF(ISBLANK('Raw Material Usage'!$C17),"",_xlfn.XLOOKUP('Raw Material Usage'!D17,Data!$BR$7:$BR$263,Data!$BU$7:$BU$263))</f>
        <v/>
      </c>
      <c r="E98" s="457"/>
      <c r="F98" s="457"/>
      <c r="G98" s="457"/>
      <c r="H98" s="144"/>
      <c r="I98" s="351" t="str">
        <f>IF(ISBLANK('Raw Material Usage'!$C17),"",'Raw Material Usage'!$E17/'Unit Conversions'!$D$12)</f>
        <v/>
      </c>
      <c r="J98" s="339"/>
      <c r="K98" s="144"/>
    </row>
    <row r="99" spans="1:11">
      <c r="A99" s="144"/>
      <c r="B99" s="454" t="s">
        <v>540</v>
      </c>
      <c r="C99" s="454" t="s">
        <v>541</v>
      </c>
      <c r="D99" s="454" t="s">
        <v>51</v>
      </c>
      <c r="E99" s="454" t="s">
        <v>51</v>
      </c>
      <c r="F99" s="454" t="s">
        <v>542</v>
      </c>
      <c r="G99" s="454" t="s">
        <v>51</v>
      </c>
      <c r="H99" s="458" t="s">
        <v>51</v>
      </c>
      <c r="I99" s="454" t="s">
        <v>543</v>
      </c>
      <c r="J99" s="339"/>
      <c r="K99" s="144"/>
    </row>
    <row r="100" spans="1:11" ht="18" thickBot="1">
      <c r="A100" s="144"/>
      <c r="B100" s="455" t="s">
        <v>51</v>
      </c>
      <c r="C100" s="332" t="s">
        <v>544</v>
      </c>
      <c r="D100" s="332" t="s">
        <v>545</v>
      </c>
      <c r="E100" s="332" t="s">
        <v>546</v>
      </c>
      <c r="F100" s="332" t="s">
        <v>544</v>
      </c>
      <c r="G100" s="332" t="s">
        <v>545</v>
      </c>
      <c r="H100" s="332" t="s">
        <v>546</v>
      </c>
      <c r="I100" s="455" t="s">
        <v>51</v>
      </c>
      <c r="J100" s="341">
        <f>SUM(C101,F101,I101)</f>
        <v>0</v>
      </c>
      <c r="K100" s="144"/>
    </row>
    <row r="101" spans="1:11">
      <c r="A101" s="144"/>
      <c r="B101" s="345"/>
      <c r="C101" s="346"/>
      <c r="D101" s="346"/>
      <c r="E101" s="346"/>
      <c r="F101" s="346"/>
      <c r="G101" s="346"/>
      <c r="H101" s="346"/>
      <c r="I101" s="347"/>
      <c r="J101" s="341">
        <f t="shared" ref="J101:J111" si="5">SUM(C102,F102,I102)</f>
        <v>0</v>
      </c>
      <c r="K101" s="144"/>
    </row>
    <row r="102" spans="1:11">
      <c r="A102" s="144"/>
      <c r="B102" s="348"/>
      <c r="C102" s="349"/>
      <c r="D102" s="349"/>
      <c r="E102" s="349"/>
      <c r="F102" s="349"/>
      <c r="G102" s="349"/>
      <c r="H102" s="349"/>
      <c r="I102" s="350"/>
      <c r="J102" s="341">
        <f t="shared" si="5"/>
        <v>0</v>
      </c>
      <c r="K102" s="144"/>
    </row>
    <row r="103" spans="1:11">
      <c r="A103" s="144"/>
      <c r="B103" s="348"/>
      <c r="C103" s="349"/>
      <c r="D103" s="349"/>
      <c r="E103" s="349"/>
      <c r="F103" s="349"/>
      <c r="G103" s="349"/>
      <c r="H103" s="349"/>
      <c r="I103" s="350"/>
      <c r="J103" s="341">
        <f t="shared" si="5"/>
        <v>0</v>
      </c>
      <c r="K103" s="144"/>
    </row>
    <row r="104" spans="1:11">
      <c r="A104" s="144"/>
      <c r="B104" s="348"/>
      <c r="C104" s="349"/>
      <c r="D104" s="349"/>
      <c r="E104" s="349"/>
      <c r="F104" s="349"/>
      <c r="G104" s="349"/>
      <c r="H104" s="349"/>
      <c r="I104" s="350"/>
      <c r="J104" s="341">
        <f t="shared" si="5"/>
        <v>0</v>
      </c>
      <c r="K104" s="144"/>
    </row>
    <row r="105" spans="1:11">
      <c r="A105" s="144"/>
      <c r="B105" s="348"/>
      <c r="C105" s="349"/>
      <c r="D105" s="349"/>
      <c r="E105" s="349"/>
      <c r="F105" s="349"/>
      <c r="G105" s="349"/>
      <c r="H105" s="349"/>
      <c r="I105" s="350"/>
      <c r="J105" s="341">
        <f t="shared" si="5"/>
        <v>0</v>
      </c>
      <c r="K105" s="144"/>
    </row>
    <row r="106" spans="1:11">
      <c r="A106" s="144"/>
      <c r="B106" s="348"/>
      <c r="C106" s="349"/>
      <c r="D106" s="349"/>
      <c r="E106" s="349"/>
      <c r="F106" s="349"/>
      <c r="G106" s="349"/>
      <c r="H106" s="349"/>
      <c r="I106" s="350"/>
      <c r="J106" s="341">
        <f t="shared" si="5"/>
        <v>0</v>
      </c>
      <c r="K106" s="144"/>
    </row>
    <row r="107" spans="1:11">
      <c r="A107" s="144"/>
      <c r="B107" s="348"/>
      <c r="C107" s="349"/>
      <c r="D107" s="349"/>
      <c r="E107" s="349"/>
      <c r="F107" s="349"/>
      <c r="G107" s="349"/>
      <c r="H107" s="349"/>
      <c r="I107" s="350"/>
      <c r="J107" s="341">
        <f t="shared" si="5"/>
        <v>0</v>
      </c>
      <c r="K107" s="144"/>
    </row>
    <row r="108" spans="1:11">
      <c r="A108" s="144"/>
      <c r="B108" s="333"/>
      <c r="C108" s="334"/>
      <c r="D108" s="334"/>
      <c r="E108" s="334"/>
      <c r="F108" s="334"/>
      <c r="G108" s="334"/>
      <c r="H108" s="334"/>
      <c r="I108" s="335"/>
      <c r="J108" s="341">
        <f t="shared" si="5"/>
        <v>0</v>
      </c>
      <c r="K108" s="144"/>
    </row>
    <row r="109" spans="1:11">
      <c r="A109" s="144"/>
      <c r="B109" s="333"/>
      <c r="C109" s="334"/>
      <c r="D109" s="334"/>
      <c r="E109" s="334"/>
      <c r="F109" s="334"/>
      <c r="G109" s="334"/>
      <c r="H109" s="334"/>
      <c r="I109" s="335"/>
      <c r="J109" s="341">
        <f t="shared" si="5"/>
        <v>0</v>
      </c>
      <c r="K109" s="144"/>
    </row>
    <row r="110" spans="1:11">
      <c r="A110" s="144"/>
      <c r="B110" s="333"/>
      <c r="C110" s="334"/>
      <c r="D110" s="334"/>
      <c r="E110" s="334"/>
      <c r="F110" s="334"/>
      <c r="G110" s="334"/>
      <c r="H110" s="334"/>
      <c r="I110" s="335"/>
      <c r="J110" s="341">
        <f t="shared" si="5"/>
        <v>0</v>
      </c>
      <c r="K110" s="144"/>
    </row>
    <row r="111" spans="1:11" ht="16" thickBot="1">
      <c r="A111" s="144"/>
      <c r="B111" s="333"/>
      <c r="C111" s="334"/>
      <c r="D111" s="334"/>
      <c r="E111" s="334"/>
      <c r="F111" s="334"/>
      <c r="G111" s="334"/>
      <c r="H111" s="334"/>
      <c r="I111" s="335"/>
      <c r="J111" s="342">
        <f t="shared" si="5"/>
        <v>0</v>
      </c>
      <c r="K111" s="144"/>
    </row>
    <row r="112" spans="1:11" ht="16" thickBot="1">
      <c r="A112" s="144"/>
      <c r="B112" s="336"/>
      <c r="C112" s="337"/>
      <c r="D112" s="337"/>
      <c r="E112" s="337"/>
      <c r="F112" s="337"/>
      <c r="G112" s="337"/>
      <c r="H112" s="337"/>
      <c r="I112" s="338"/>
      <c r="J112" s="343">
        <f>SUM(J100:J111)</f>
        <v>0</v>
      </c>
      <c r="K112" s="144"/>
    </row>
    <row r="113" spans="1:11">
      <c r="A113" s="144"/>
      <c r="B113" s="144"/>
      <c r="C113" s="144"/>
      <c r="D113" s="144"/>
      <c r="E113" s="144"/>
      <c r="F113" s="144"/>
      <c r="G113" s="144"/>
      <c r="H113" s="144"/>
      <c r="I113" s="144"/>
      <c r="J113" s="339"/>
      <c r="K113" s="144"/>
    </row>
    <row r="114" spans="1:11">
      <c r="A114" s="144"/>
      <c r="B114" s="425" t="s">
        <v>537</v>
      </c>
      <c r="C114" s="425"/>
      <c r="D114" s="425" t="s">
        <v>538</v>
      </c>
      <c r="E114" s="425"/>
      <c r="F114" s="425"/>
      <c r="G114" s="425"/>
      <c r="H114" s="144"/>
      <c r="I114" s="140" t="s">
        <v>539</v>
      </c>
      <c r="J114" s="339"/>
      <c r="K114" s="144"/>
    </row>
    <row r="115" spans="1:11">
      <c r="A115" s="144"/>
      <c r="B115" s="457" t="str">
        <f>IF(ISBLANK('Raw Material Usage'!$C18),"",_xlfn.XLOOKUP('Raw Material Usage'!$D18,Data!$BR$7:$BR$263,Data!$BS$7:$BS$263))</f>
        <v/>
      </c>
      <c r="C115" s="457"/>
      <c r="D115" s="457" t="str">
        <f>IF(ISBLANK('Raw Material Usage'!$C18),"",_xlfn.XLOOKUP('Raw Material Usage'!D18,Data!$BR$7:$BR$263,Data!$BU$7:$BU$263))</f>
        <v/>
      </c>
      <c r="E115" s="457"/>
      <c r="F115" s="457"/>
      <c r="G115" s="457"/>
      <c r="H115" s="144"/>
      <c r="I115" s="351" t="str">
        <f>IF(ISBLANK('Raw Material Usage'!$C18),"",'Raw Material Usage'!$E18/'Unit Conversions'!$D$12)</f>
        <v/>
      </c>
      <c r="J115" s="339"/>
      <c r="K115" s="144"/>
    </row>
    <row r="116" spans="1:11">
      <c r="A116" s="144"/>
      <c r="B116" s="454" t="s">
        <v>540</v>
      </c>
      <c r="C116" s="454" t="s">
        <v>541</v>
      </c>
      <c r="D116" s="454" t="s">
        <v>51</v>
      </c>
      <c r="E116" s="454" t="s">
        <v>51</v>
      </c>
      <c r="F116" s="454" t="s">
        <v>542</v>
      </c>
      <c r="G116" s="454" t="s">
        <v>51</v>
      </c>
      <c r="H116" s="458" t="s">
        <v>51</v>
      </c>
      <c r="I116" s="454" t="s">
        <v>543</v>
      </c>
      <c r="J116" s="339"/>
      <c r="K116" s="144"/>
    </row>
    <row r="117" spans="1:11" ht="18" thickBot="1">
      <c r="A117" s="144"/>
      <c r="B117" s="455" t="s">
        <v>51</v>
      </c>
      <c r="C117" s="332" t="s">
        <v>544</v>
      </c>
      <c r="D117" s="332" t="s">
        <v>545</v>
      </c>
      <c r="E117" s="332" t="s">
        <v>546</v>
      </c>
      <c r="F117" s="332" t="s">
        <v>544</v>
      </c>
      <c r="G117" s="332" t="s">
        <v>545</v>
      </c>
      <c r="H117" s="332" t="s">
        <v>546</v>
      </c>
      <c r="I117" s="455" t="s">
        <v>51</v>
      </c>
      <c r="J117" s="341">
        <f>SUM(C118,F118,I118)</f>
        <v>0</v>
      </c>
      <c r="K117" s="144"/>
    </row>
    <row r="118" spans="1:11">
      <c r="A118" s="144"/>
      <c r="B118" s="345"/>
      <c r="C118" s="346"/>
      <c r="D118" s="346"/>
      <c r="E118" s="346"/>
      <c r="F118" s="346"/>
      <c r="G118" s="346"/>
      <c r="H118" s="346"/>
      <c r="I118" s="347"/>
      <c r="J118" s="341">
        <f t="shared" ref="J118:J128" si="6">SUM(C119,F119,I119)</f>
        <v>0</v>
      </c>
      <c r="K118" s="144"/>
    </row>
    <row r="119" spans="1:11">
      <c r="A119" s="144"/>
      <c r="B119" s="348"/>
      <c r="C119" s="349"/>
      <c r="D119" s="349"/>
      <c r="E119" s="349"/>
      <c r="F119" s="349"/>
      <c r="G119" s="349"/>
      <c r="H119" s="349"/>
      <c r="I119" s="350"/>
      <c r="J119" s="341">
        <f t="shared" si="6"/>
        <v>0</v>
      </c>
      <c r="K119" s="144"/>
    </row>
    <row r="120" spans="1:11">
      <c r="A120" s="144"/>
      <c r="B120" s="348"/>
      <c r="C120" s="349"/>
      <c r="D120" s="349"/>
      <c r="E120" s="349"/>
      <c r="F120" s="349"/>
      <c r="G120" s="349"/>
      <c r="H120" s="349"/>
      <c r="I120" s="350"/>
      <c r="J120" s="341">
        <f t="shared" si="6"/>
        <v>0</v>
      </c>
      <c r="K120" s="144"/>
    </row>
    <row r="121" spans="1:11">
      <c r="A121" s="144"/>
      <c r="B121" s="348"/>
      <c r="C121" s="349"/>
      <c r="D121" s="349"/>
      <c r="E121" s="349"/>
      <c r="F121" s="349"/>
      <c r="G121" s="349"/>
      <c r="H121" s="349"/>
      <c r="I121" s="350"/>
      <c r="J121" s="341">
        <f t="shared" si="6"/>
        <v>0</v>
      </c>
      <c r="K121" s="144"/>
    </row>
    <row r="122" spans="1:11">
      <c r="A122" s="144"/>
      <c r="B122" s="348"/>
      <c r="C122" s="349"/>
      <c r="D122" s="349"/>
      <c r="E122" s="349"/>
      <c r="F122" s="349"/>
      <c r="G122" s="349"/>
      <c r="H122" s="349"/>
      <c r="I122" s="350"/>
      <c r="J122" s="341">
        <f t="shared" si="6"/>
        <v>0</v>
      </c>
      <c r="K122" s="144"/>
    </row>
    <row r="123" spans="1:11">
      <c r="A123" s="144"/>
      <c r="B123" s="348"/>
      <c r="C123" s="349"/>
      <c r="D123" s="349"/>
      <c r="E123" s="349"/>
      <c r="F123" s="349"/>
      <c r="G123" s="349"/>
      <c r="H123" s="349"/>
      <c r="I123" s="350"/>
      <c r="J123" s="341">
        <f t="shared" si="6"/>
        <v>0</v>
      </c>
      <c r="K123" s="144"/>
    </row>
    <row r="124" spans="1:11">
      <c r="A124" s="144"/>
      <c r="B124" s="348"/>
      <c r="C124" s="349"/>
      <c r="D124" s="349"/>
      <c r="E124" s="349"/>
      <c r="F124" s="349"/>
      <c r="G124" s="349"/>
      <c r="H124" s="349"/>
      <c r="I124" s="350"/>
      <c r="J124" s="341">
        <f t="shared" si="6"/>
        <v>0</v>
      </c>
      <c r="K124" s="144"/>
    </row>
    <row r="125" spans="1:11">
      <c r="A125" s="144"/>
      <c r="B125" s="333"/>
      <c r="C125" s="334"/>
      <c r="D125" s="334"/>
      <c r="E125" s="334"/>
      <c r="F125" s="334"/>
      <c r="G125" s="334"/>
      <c r="H125" s="334"/>
      <c r="I125" s="335"/>
      <c r="J125" s="341">
        <f t="shared" si="6"/>
        <v>0</v>
      </c>
      <c r="K125" s="144"/>
    </row>
    <row r="126" spans="1:11">
      <c r="A126" s="144"/>
      <c r="B126" s="333"/>
      <c r="C126" s="334"/>
      <c r="D126" s="334"/>
      <c r="E126" s="334"/>
      <c r="F126" s="334"/>
      <c r="G126" s="334"/>
      <c r="H126" s="334"/>
      <c r="I126" s="335"/>
      <c r="J126" s="341">
        <f t="shared" si="6"/>
        <v>0</v>
      </c>
      <c r="K126" s="144"/>
    </row>
    <row r="127" spans="1:11">
      <c r="A127" s="144"/>
      <c r="B127" s="333"/>
      <c r="C127" s="334"/>
      <c r="D127" s="334"/>
      <c r="E127" s="334"/>
      <c r="F127" s="334"/>
      <c r="G127" s="334"/>
      <c r="H127" s="334"/>
      <c r="I127" s="335"/>
      <c r="J127" s="341">
        <f t="shared" si="6"/>
        <v>0</v>
      </c>
      <c r="K127" s="144"/>
    </row>
    <row r="128" spans="1:11" ht="16" thickBot="1">
      <c r="A128" s="144"/>
      <c r="B128" s="333"/>
      <c r="C128" s="334"/>
      <c r="D128" s="334"/>
      <c r="E128" s="334"/>
      <c r="F128" s="334"/>
      <c r="G128" s="334"/>
      <c r="H128" s="334"/>
      <c r="I128" s="335"/>
      <c r="J128" s="342">
        <f t="shared" si="6"/>
        <v>0</v>
      </c>
      <c r="K128" s="144"/>
    </row>
    <row r="129" spans="1:11" ht="16" thickBot="1">
      <c r="A129" s="144"/>
      <c r="B129" s="336"/>
      <c r="C129" s="337"/>
      <c r="D129" s="337"/>
      <c r="E129" s="337"/>
      <c r="F129" s="337"/>
      <c r="G129" s="337"/>
      <c r="H129" s="337"/>
      <c r="I129" s="338"/>
      <c r="J129" s="343">
        <f>SUM(J117:J128)</f>
        <v>0</v>
      </c>
      <c r="K129" s="144"/>
    </row>
    <row r="130" spans="1:11">
      <c r="A130" s="144"/>
      <c r="B130" s="144"/>
      <c r="C130" s="144"/>
      <c r="D130" s="144"/>
      <c r="E130" s="144"/>
      <c r="F130" s="144"/>
      <c r="G130" s="144"/>
      <c r="H130" s="144"/>
      <c r="I130" s="144"/>
      <c r="J130" s="339"/>
      <c r="K130" s="144"/>
    </row>
    <row r="131" spans="1:11">
      <c r="A131" s="144"/>
      <c r="B131" s="425" t="s">
        <v>537</v>
      </c>
      <c r="C131" s="425"/>
      <c r="D131" s="425" t="s">
        <v>538</v>
      </c>
      <c r="E131" s="425"/>
      <c r="F131" s="425"/>
      <c r="G131" s="425"/>
      <c r="H131" s="144"/>
      <c r="I131" s="140" t="s">
        <v>539</v>
      </c>
      <c r="J131" s="339"/>
      <c r="K131" s="144"/>
    </row>
    <row r="132" spans="1:11">
      <c r="A132" s="144"/>
      <c r="B132" s="457" t="str">
        <f>IF(ISBLANK('Raw Material Usage'!$C19),"",_xlfn.XLOOKUP('Raw Material Usage'!$D19,Data!$BR$7:$BR$263,Data!$BS$7:$BS$263))</f>
        <v/>
      </c>
      <c r="C132" s="457"/>
      <c r="D132" s="457" t="str">
        <f>IF(ISBLANK('Raw Material Usage'!$C19),"",_xlfn.XLOOKUP('Raw Material Usage'!D19,Data!$BR$7:$BR$263,Data!$BU$7:$BU$263))</f>
        <v/>
      </c>
      <c r="E132" s="457"/>
      <c r="F132" s="457"/>
      <c r="G132" s="457"/>
      <c r="H132" s="144"/>
      <c r="I132" s="351" t="str">
        <f>IF(ISBLANK('Raw Material Usage'!$C19),"",'Raw Material Usage'!$E19/'Unit Conversions'!$D$12)</f>
        <v/>
      </c>
      <c r="J132" s="339"/>
      <c r="K132" s="144"/>
    </row>
    <row r="133" spans="1:11">
      <c r="A133" s="144"/>
      <c r="B133" s="454" t="s">
        <v>540</v>
      </c>
      <c r="C133" s="454" t="s">
        <v>541</v>
      </c>
      <c r="D133" s="454" t="s">
        <v>51</v>
      </c>
      <c r="E133" s="454" t="s">
        <v>51</v>
      </c>
      <c r="F133" s="454" t="s">
        <v>542</v>
      </c>
      <c r="G133" s="454" t="s">
        <v>51</v>
      </c>
      <c r="H133" s="458" t="s">
        <v>51</v>
      </c>
      <c r="I133" s="454" t="s">
        <v>543</v>
      </c>
      <c r="J133" s="339"/>
      <c r="K133" s="144"/>
    </row>
    <row r="134" spans="1:11" ht="18" thickBot="1">
      <c r="A134" s="144"/>
      <c r="B134" s="455" t="s">
        <v>51</v>
      </c>
      <c r="C134" s="332" t="s">
        <v>544</v>
      </c>
      <c r="D134" s="332" t="s">
        <v>545</v>
      </c>
      <c r="E134" s="332" t="s">
        <v>546</v>
      </c>
      <c r="F134" s="332" t="s">
        <v>544</v>
      </c>
      <c r="G134" s="332" t="s">
        <v>545</v>
      </c>
      <c r="H134" s="332" t="s">
        <v>546</v>
      </c>
      <c r="I134" s="455" t="s">
        <v>51</v>
      </c>
      <c r="J134" s="341">
        <f>SUM(C135,F135,I135)</f>
        <v>0</v>
      </c>
      <c r="K134" s="144"/>
    </row>
    <row r="135" spans="1:11">
      <c r="A135" s="144"/>
      <c r="B135" s="345"/>
      <c r="C135" s="346"/>
      <c r="D135" s="346"/>
      <c r="E135" s="346"/>
      <c r="F135" s="346"/>
      <c r="G135" s="346"/>
      <c r="H135" s="346"/>
      <c r="I135" s="347"/>
      <c r="J135" s="341">
        <f t="shared" ref="J135:J145" si="7">SUM(C136,F136,I136)</f>
        <v>0</v>
      </c>
      <c r="K135" s="144"/>
    </row>
    <row r="136" spans="1:11">
      <c r="A136" s="144"/>
      <c r="B136" s="348"/>
      <c r="C136" s="349"/>
      <c r="D136" s="349"/>
      <c r="E136" s="349"/>
      <c r="F136" s="349"/>
      <c r="G136" s="349"/>
      <c r="H136" s="349"/>
      <c r="I136" s="350"/>
      <c r="J136" s="341">
        <f t="shared" si="7"/>
        <v>0</v>
      </c>
      <c r="K136" s="144"/>
    </row>
    <row r="137" spans="1:11">
      <c r="A137" s="144"/>
      <c r="B137" s="348"/>
      <c r="C137" s="349"/>
      <c r="D137" s="349"/>
      <c r="E137" s="349"/>
      <c r="F137" s="349"/>
      <c r="G137" s="349"/>
      <c r="H137" s="349"/>
      <c r="I137" s="350"/>
      <c r="J137" s="341">
        <f t="shared" si="7"/>
        <v>0</v>
      </c>
      <c r="K137" s="144"/>
    </row>
    <row r="138" spans="1:11">
      <c r="A138" s="144"/>
      <c r="B138" s="348"/>
      <c r="C138" s="349"/>
      <c r="D138" s="349"/>
      <c r="E138" s="349"/>
      <c r="F138" s="349"/>
      <c r="G138" s="349"/>
      <c r="H138" s="349"/>
      <c r="I138" s="350"/>
      <c r="J138" s="341">
        <f t="shared" si="7"/>
        <v>0</v>
      </c>
      <c r="K138" s="144"/>
    </row>
    <row r="139" spans="1:11">
      <c r="A139" s="144"/>
      <c r="B139" s="348"/>
      <c r="C139" s="349"/>
      <c r="D139" s="349"/>
      <c r="E139" s="349"/>
      <c r="F139" s="349"/>
      <c r="G139" s="349"/>
      <c r="H139" s="349"/>
      <c r="I139" s="350"/>
      <c r="J139" s="341">
        <f t="shared" si="7"/>
        <v>0</v>
      </c>
      <c r="K139" s="144"/>
    </row>
    <row r="140" spans="1:11">
      <c r="A140" s="144"/>
      <c r="B140" s="348"/>
      <c r="C140" s="349"/>
      <c r="D140" s="349"/>
      <c r="E140" s="349"/>
      <c r="F140" s="349"/>
      <c r="G140" s="349"/>
      <c r="H140" s="349"/>
      <c r="I140" s="350"/>
      <c r="J140" s="341">
        <f t="shared" si="7"/>
        <v>0</v>
      </c>
      <c r="K140" s="144"/>
    </row>
    <row r="141" spans="1:11">
      <c r="A141" s="144"/>
      <c r="B141" s="348"/>
      <c r="C141" s="349"/>
      <c r="D141" s="349"/>
      <c r="E141" s="349"/>
      <c r="F141" s="349"/>
      <c r="G141" s="349"/>
      <c r="H141" s="349"/>
      <c r="I141" s="350"/>
      <c r="J141" s="341">
        <f t="shared" si="7"/>
        <v>0</v>
      </c>
      <c r="K141" s="144"/>
    </row>
    <row r="142" spans="1:11">
      <c r="A142" s="144"/>
      <c r="B142" s="333"/>
      <c r="C142" s="334"/>
      <c r="D142" s="334"/>
      <c r="E142" s="334"/>
      <c r="F142" s="334"/>
      <c r="G142" s="334"/>
      <c r="H142" s="334"/>
      <c r="I142" s="335"/>
      <c r="J142" s="341">
        <f t="shared" si="7"/>
        <v>0</v>
      </c>
      <c r="K142" s="144"/>
    </row>
    <row r="143" spans="1:11">
      <c r="A143" s="144"/>
      <c r="B143" s="333"/>
      <c r="C143" s="334"/>
      <c r="D143" s="334"/>
      <c r="E143" s="334"/>
      <c r="F143" s="334"/>
      <c r="G143" s="334"/>
      <c r="H143" s="334"/>
      <c r="I143" s="335"/>
      <c r="J143" s="341">
        <f t="shared" si="7"/>
        <v>0</v>
      </c>
      <c r="K143" s="144"/>
    </row>
    <row r="144" spans="1:11">
      <c r="A144" s="144"/>
      <c r="B144" s="333"/>
      <c r="C144" s="334"/>
      <c r="D144" s="334"/>
      <c r="E144" s="334"/>
      <c r="F144" s="334"/>
      <c r="G144" s="334"/>
      <c r="H144" s="334"/>
      <c r="I144" s="335"/>
      <c r="J144" s="341">
        <f t="shared" si="7"/>
        <v>0</v>
      </c>
      <c r="K144" s="144"/>
    </row>
    <row r="145" spans="1:11" ht="16" thickBot="1">
      <c r="A145" s="144"/>
      <c r="B145" s="333"/>
      <c r="C145" s="334"/>
      <c r="D145" s="334"/>
      <c r="E145" s="334"/>
      <c r="F145" s="334"/>
      <c r="G145" s="334"/>
      <c r="H145" s="334"/>
      <c r="I145" s="335"/>
      <c r="J145" s="342">
        <f t="shared" si="7"/>
        <v>0</v>
      </c>
      <c r="K145" s="144"/>
    </row>
    <row r="146" spans="1:11" ht="16" thickBot="1">
      <c r="A146" s="144"/>
      <c r="B146" s="336"/>
      <c r="C146" s="337"/>
      <c r="D146" s="337"/>
      <c r="E146" s="337"/>
      <c r="F146" s="337"/>
      <c r="G146" s="337"/>
      <c r="H146" s="337"/>
      <c r="I146" s="338"/>
      <c r="J146" s="343">
        <f>SUM(J134:J145)</f>
        <v>0</v>
      </c>
      <c r="K146" s="144"/>
    </row>
    <row r="147" spans="1:11">
      <c r="A147" s="144"/>
      <c r="B147" s="144"/>
      <c r="C147" s="144"/>
      <c r="D147" s="144"/>
      <c r="E147" s="144"/>
      <c r="F147" s="144"/>
      <c r="G147" s="144"/>
      <c r="H147" s="144"/>
      <c r="I147" s="144"/>
      <c r="J147" s="339"/>
      <c r="K147" s="144"/>
    </row>
    <row r="148" spans="1:11">
      <c r="A148" s="144"/>
      <c r="B148" s="425" t="s">
        <v>537</v>
      </c>
      <c r="C148" s="425"/>
      <c r="D148" s="425" t="s">
        <v>538</v>
      </c>
      <c r="E148" s="425"/>
      <c r="F148" s="425"/>
      <c r="G148" s="425"/>
      <c r="H148" s="144"/>
      <c r="I148" s="140" t="s">
        <v>539</v>
      </c>
      <c r="J148" s="339"/>
      <c r="K148" s="144"/>
    </row>
    <row r="149" spans="1:11">
      <c r="A149" s="144"/>
      <c r="B149" s="457" t="str">
        <f>IF(ISBLANK('Raw Material Usage'!$C20),"",_xlfn.XLOOKUP('Raw Material Usage'!$D20,Data!$BR$7:$BR$263,Data!$BS$7:$BS$263))</f>
        <v/>
      </c>
      <c r="C149" s="457"/>
      <c r="D149" s="457" t="str">
        <f>IF(ISBLANK('Raw Material Usage'!$C20),"",_xlfn.XLOOKUP('Raw Material Usage'!D20,Data!$BR$7:$BR$263,Data!$BU$7:$BU$263))</f>
        <v/>
      </c>
      <c r="E149" s="457"/>
      <c r="F149" s="457"/>
      <c r="G149" s="457"/>
      <c r="H149" s="144"/>
      <c r="I149" s="351" t="str">
        <f>IF(ISBLANK('Raw Material Usage'!$C20),"",'Raw Material Usage'!$E20/'Unit Conversions'!$D$12)</f>
        <v/>
      </c>
      <c r="J149" s="339"/>
      <c r="K149" s="144"/>
    </row>
    <row r="150" spans="1:11">
      <c r="A150" s="144"/>
      <c r="B150" s="454" t="s">
        <v>540</v>
      </c>
      <c r="C150" s="454" t="s">
        <v>541</v>
      </c>
      <c r="D150" s="454" t="s">
        <v>51</v>
      </c>
      <c r="E150" s="454" t="s">
        <v>51</v>
      </c>
      <c r="F150" s="454" t="s">
        <v>542</v>
      </c>
      <c r="G150" s="454" t="s">
        <v>51</v>
      </c>
      <c r="H150" s="458" t="s">
        <v>51</v>
      </c>
      <c r="I150" s="454" t="s">
        <v>543</v>
      </c>
      <c r="J150" s="339"/>
      <c r="K150" s="144"/>
    </row>
    <row r="151" spans="1:11" ht="18" thickBot="1">
      <c r="A151" s="144"/>
      <c r="B151" s="455" t="s">
        <v>51</v>
      </c>
      <c r="C151" s="332" t="s">
        <v>544</v>
      </c>
      <c r="D151" s="332" t="s">
        <v>545</v>
      </c>
      <c r="E151" s="332" t="s">
        <v>546</v>
      </c>
      <c r="F151" s="332" t="s">
        <v>544</v>
      </c>
      <c r="G151" s="332" t="s">
        <v>545</v>
      </c>
      <c r="H151" s="332" t="s">
        <v>546</v>
      </c>
      <c r="I151" s="455" t="s">
        <v>51</v>
      </c>
      <c r="J151" s="341">
        <f>SUM(C152,F152,I152)</f>
        <v>0</v>
      </c>
      <c r="K151" s="144"/>
    </row>
    <row r="152" spans="1:11">
      <c r="A152" s="144"/>
      <c r="B152" s="345"/>
      <c r="C152" s="346"/>
      <c r="D152" s="346"/>
      <c r="E152" s="346"/>
      <c r="F152" s="346"/>
      <c r="G152" s="346"/>
      <c r="H152" s="346"/>
      <c r="I152" s="347"/>
      <c r="J152" s="341">
        <f t="shared" ref="J152:J162" si="8">SUM(C153,F153,I153)</f>
        <v>0</v>
      </c>
      <c r="K152" s="144"/>
    </row>
    <row r="153" spans="1:11">
      <c r="A153" s="144"/>
      <c r="B153" s="348"/>
      <c r="C153" s="349"/>
      <c r="D153" s="349"/>
      <c r="E153" s="349"/>
      <c r="F153" s="349"/>
      <c r="G153" s="349"/>
      <c r="H153" s="349"/>
      <c r="I153" s="350"/>
      <c r="J153" s="341">
        <f t="shared" si="8"/>
        <v>0</v>
      </c>
      <c r="K153" s="144"/>
    </row>
    <row r="154" spans="1:11">
      <c r="A154" s="144"/>
      <c r="B154" s="348"/>
      <c r="C154" s="349"/>
      <c r="D154" s="349"/>
      <c r="E154" s="349"/>
      <c r="F154" s="349"/>
      <c r="G154" s="349"/>
      <c r="H154" s="349"/>
      <c r="I154" s="350"/>
      <c r="J154" s="341">
        <f t="shared" si="8"/>
        <v>0</v>
      </c>
      <c r="K154" s="144"/>
    </row>
    <row r="155" spans="1:11">
      <c r="A155" s="144"/>
      <c r="B155" s="348"/>
      <c r="C155" s="349"/>
      <c r="D155" s="349"/>
      <c r="E155" s="349"/>
      <c r="F155" s="349"/>
      <c r="G155" s="349"/>
      <c r="H155" s="349"/>
      <c r="I155" s="350"/>
      <c r="J155" s="341">
        <f t="shared" si="8"/>
        <v>0</v>
      </c>
      <c r="K155" s="144"/>
    </row>
    <row r="156" spans="1:11">
      <c r="A156" s="144"/>
      <c r="B156" s="348"/>
      <c r="C156" s="349"/>
      <c r="D156" s="349"/>
      <c r="E156" s="349"/>
      <c r="F156" s="349"/>
      <c r="G156" s="349"/>
      <c r="H156" s="349"/>
      <c r="I156" s="350"/>
      <c r="J156" s="341">
        <f t="shared" si="8"/>
        <v>0</v>
      </c>
      <c r="K156" s="144"/>
    </row>
    <row r="157" spans="1:11">
      <c r="A157" s="144"/>
      <c r="B157" s="348"/>
      <c r="C157" s="349"/>
      <c r="D157" s="349"/>
      <c r="E157" s="349"/>
      <c r="F157" s="349"/>
      <c r="G157" s="349"/>
      <c r="H157" s="349"/>
      <c r="I157" s="350"/>
      <c r="J157" s="341">
        <f t="shared" si="8"/>
        <v>0</v>
      </c>
      <c r="K157" s="144"/>
    </row>
    <row r="158" spans="1:11">
      <c r="A158" s="144"/>
      <c r="B158" s="348"/>
      <c r="C158" s="349"/>
      <c r="D158" s="349"/>
      <c r="E158" s="349"/>
      <c r="F158" s="349"/>
      <c r="G158" s="349"/>
      <c r="H158" s="349"/>
      <c r="I158" s="350"/>
      <c r="J158" s="341">
        <f t="shared" si="8"/>
        <v>0</v>
      </c>
      <c r="K158" s="144"/>
    </row>
    <row r="159" spans="1:11">
      <c r="A159" s="144"/>
      <c r="B159" s="333"/>
      <c r="C159" s="334"/>
      <c r="D159" s="334"/>
      <c r="E159" s="334"/>
      <c r="F159" s="334"/>
      <c r="G159" s="334"/>
      <c r="H159" s="334"/>
      <c r="I159" s="335"/>
      <c r="J159" s="341">
        <f t="shared" si="8"/>
        <v>0</v>
      </c>
      <c r="K159" s="144"/>
    </row>
    <row r="160" spans="1:11">
      <c r="A160" s="144"/>
      <c r="B160" s="333"/>
      <c r="C160" s="334"/>
      <c r="D160" s="334"/>
      <c r="E160" s="334"/>
      <c r="F160" s="334"/>
      <c r="G160" s="334"/>
      <c r="H160" s="334"/>
      <c r="I160" s="335"/>
      <c r="J160" s="341">
        <f t="shared" si="8"/>
        <v>0</v>
      </c>
      <c r="K160" s="144"/>
    </row>
    <row r="161" spans="1:11">
      <c r="A161" s="144"/>
      <c r="B161" s="333"/>
      <c r="C161" s="334"/>
      <c r="D161" s="334"/>
      <c r="E161" s="334"/>
      <c r="F161" s="334"/>
      <c r="G161" s="334"/>
      <c r="H161" s="334"/>
      <c r="I161" s="335"/>
      <c r="J161" s="341">
        <f t="shared" si="8"/>
        <v>0</v>
      </c>
      <c r="K161" s="144"/>
    </row>
    <row r="162" spans="1:11" ht="16" thickBot="1">
      <c r="A162" s="144"/>
      <c r="B162" s="333"/>
      <c r="C162" s="334"/>
      <c r="D162" s="334"/>
      <c r="E162" s="334"/>
      <c r="F162" s="334"/>
      <c r="G162" s="334"/>
      <c r="H162" s="334"/>
      <c r="I162" s="335"/>
      <c r="J162" s="342">
        <f t="shared" si="8"/>
        <v>0</v>
      </c>
      <c r="K162" s="144"/>
    </row>
    <row r="163" spans="1:11" ht="16" thickBot="1">
      <c r="A163" s="144"/>
      <c r="B163" s="336"/>
      <c r="C163" s="337"/>
      <c r="D163" s="337"/>
      <c r="E163" s="337"/>
      <c r="F163" s="337"/>
      <c r="G163" s="337"/>
      <c r="H163" s="337"/>
      <c r="I163" s="338"/>
      <c r="J163" s="343">
        <f>SUM(J151:J162)</f>
        <v>0</v>
      </c>
      <c r="K163" s="144"/>
    </row>
    <row r="164" spans="1:11">
      <c r="A164" s="144"/>
      <c r="B164" s="144"/>
      <c r="C164" s="144"/>
      <c r="D164" s="144"/>
      <c r="E164" s="144"/>
      <c r="F164" s="144"/>
      <c r="G164" s="144"/>
      <c r="H164" s="144"/>
      <c r="I164" s="144"/>
      <c r="J164" s="339"/>
      <c r="K164" s="144"/>
    </row>
    <row r="165" spans="1:11">
      <c r="A165" s="144"/>
      <c r="B165" s="425" t="s">
        <v>537</v>
      </c>
      <c r="C165" s="425"/>
      <c r="D165" s="425" t="s">
        <v>538</v>
      </c>
      <c r="E165" s="425"/>
      <c r="F165" s="425"/>
      <c r="G165" s="425"/>
      <c r="H165" s="144"/>
      <c r="I165" s="140" t="s">
        <v>539</v>
      </c>
      <c r="J165" s="339"/>
      <c r="K165" s="144"/>
    </row>
    <row r="166" spans="1:11">
      <c r="A166" s="144"/>
      <c r="B166" s="457" t="str">
        <f>IF(ISBLANK('Raw Material Usage'!$C21),"",_xlfn.XLOOKUP('Raw Material Usage'!$D21,Data!$BR$7:$BR$263,Data!$BS$7:$BS$263))</f>
        <v/>
      </c>
      <c r="C166" s="457"/>
      <c r="D166" s="457" t="str">
        <f>IF(ISBLANK('Raw Material Usage'!$C21),"",_xlfn.XLOOKUP('Raw Material Usage'!D21,Data!$BR$7:$BR$263,Data!$BU$7:$BU$263))</f>
        <v/>
      </c>
      <c r="E166" s="457"/>
      <c r="F166" s="457"/>
      <c r="G166" s="457"/>
      <c r="H166" s="144"/>
      <c r="I166" s="351" t="str">
        <f>IF(ISBLANK('Raw Material Usage'!$C21),"",'Raw Material Usage'!$E21/'Unit Conversions'!$D$12)</f>
        <v/>
      </c>
      <c r="J166" s="339"/>
      <c r="K166" s="144"/>
    </row>
    <row r="167" spans="1:11">
      <c r="A167" s="144"/>
      <c r="B167" s="454" t="s">
        <v>540</v>
      </c>
      <c r="C167" s="454" t="s">
        <v>541</v>
      </c>
      <c r="D167" s="454" t="s">
        <v>51</v>
      </c>
      <c r="E167" s="454" t="s">
        <v>51</v>
      </c>
      <c r="F167" s="454" t="s">
        <v>542</v>
      </c>
      <c r="G167" s="454" t="s">
        <v>51</v>
      </c>
      <c r="H167" s="458" t="s">
        <v>51</v>
      </c>
      <c r="I167" s="454" t="s">
        <v>543</v>
      </c>
      <c r="J167" s="339"/>
      <c r="K167" s="144"/>
    </row>
    <row r="168" spans="1:11" ht="18" thickBot="1">
      <c r="A168" s="144"/>
      <c r="B168" s="455" t="s">
        <v>51</v>
      </c>
      <c r="C168" s="332" t="s">
        <v>544</v>
      </c>
      <c r="D168" s="332" t="s">
        <v>545</v>
      </c>
      <c r="E168" s="332" t="s">
        <v>546</v>
      </c>
      <c r="F168" s="332" t="s">
        <v>544</v>
      </c>
      <c r="G168" s="332" t="s">
        <v>545</v>
      </c>
      <c r="H168" s="332" t="s">
        <v>546</v>
      </c>
      <c r="I168" s="455" t="s">
        <v>51</v>
      </c>
      <c r="J168" s="341">
        <f>SUM(C169,F169,I169)</f>
        <v>0</v>
      </c>
      <c r="K168" s="144"/>
    </row>
    <row r="169" spans="1:11">
      <c r="A169" s="144"/>
      <c r="B169" s="345"/>
      <c r="C169" s="346"/>
      <c r="D169" s="346"/>
      <c r="E169" s="346"/>
      <c r="F169" s="346"/>
      <c r="G169" s="346"/>
      <c r="H169" s="346"/>
      <c r="I169" s="347"/>
      <c r="J169" s="341">
        <f t="shared" ref="J169:J179" si="9">SUM(C170,F170,I170)</f>
        <v>0</v>
      </c>
      <c r="K169" s="144"/>
    </row>
    <row r="170" spans="1:11">
      <c r="A170" s="144"/>
      <c r="B170" s="348"/>
      <c r="C170" s="349"/>
      <c r="D170" s="349"/>
      <c r="E170" s="349"/>
      <c r="F170" s="349"/>
      <c r="G170" s="349"/>
      <c r="H170" s="349"/>
      <c r="I170" s="350"/>
      <c r="J170" s="341">
        <f t="shared" si="9"/>
        <v>0</v>
      </c>
      <c r="K170" s="144"/>
    </row>
    <row r="171" spans="1:11">
      <c r="A171" s="144"/>
      <c r="B171" s="348"/>
      <c r="C171" s="349"/>
      <c r="D171" s="349"/>
      <c r="E171" s="349"/>
      <c r="F171" s="349"/>
      <c r="G171" s="349"/>
      <c r="H171" s="349"/>
      <c r="I171" s="350"/>
      <c r="J171" s="341">
        <f t="shared" si="9"/>
        <v>0</v>
      </c>
      <c r="K171" s="144"/>
    </row>
    <row r="172" spans="1:11">
      <c r="A172" s="144"/>
      <c r="B172" s="348"/>
      <c r="C172" s="349"/>
      <c r="D172" s="349"/>
      <c r="E172" s="349"/>
      <c r="F172" s="349"/>
      <c r="G172" s="349"/>
      <c r="H172" s="349"/>
      <c r="I172" s="350"/>
      <c r="J172" s="341">
        <f t="shared" si="9"/>
        <v>0</v>
      </c>
      <c r="K172" s="144"/>
    </row>
    <row r="173" spans="1:11">
      <c r="A173" s="144"/>
      <c r="B173" s="348"/>
      <c r="C173" s="349"/>
      <c r="D173" s="349"/>
      <c r="E173" s="349"/>
      <c r="F173" s="349"/>
      <c r="G173" s="349"/>
      <c r="H173" s="349"/>
      <c r="I173" s="350"/>
      <c r="J173" s="341">
        <f t="shared" si="9"/>
        <v>0</v>
      </c>
      <c r="K173" s="144"/>
    </row>
    <row r="174" spans="1:11">
      <c r="A174" s="144"/>
      <c r="B174" s="348"/>
      <c r="C174" s="349"/>
      <c r="D174" s="349"/>
      <c r="E174" s="349"/>
      <c r="F174" s="349"/>
      <c r="G174" s="349"/>
      <c r="H174" s="349"/>
      <c r="I174" s="350"/>
      <c r="J174" s="341">
        <f t="shared" si="9"/>
        <v>0</v>
      </c>
      <c r="K174" s="144"/>
    </row>
    <row r="175" spans="1:11">
      <c r="A175" s="144"/>
      <c r="B175" s="348"/>
      <c r="C175" s="349"/>
      <c r="D175" s="349"/>
      <c r="E175" s="349"/>
      <c r="F175" s="349"/>
      <c r="G175" s="349"/>
      <c r="H175" s="349"/>
      <c r="I175" s="350"/>
      <c r="J175" s="341">
        <f t="shared" si="9"/>
        <v>0</v>
      </c>
      <c r="K175" s="144"/>
    </row>
    <row r="176" spans="1:11">
      <c r="A176" s="144"/>
      <c r="B176" s="333"/>
      <c r="C176" s="334"/>
      <c r="D176" s="334"/>
      <c r="E176" s="334"/>
      <c r="F176" s="334"/>
      <c r="G176" s="334"/>
      <c r="H176" s="334"/>
      <c r="I176" s="335"/>
      <c r="J176" s="341">
        <f t="shared" si="9"/>
        <v>0</v>
      </c>
      <c r="K176" s="144"/>
    </row>
    <row r="177" spans="1:11">
      <c r="A177" s="144"/>
      <c r="B177" s="333"/>
      <c r="C177" s="334"/>
      <c r="D177" s="334"/>
      <c r="E177" s="334"/>
      <c r="F177" s="334"/>
      <c r="G177" s="334"/>
      <c r="H177" s="334"/>
      <c r="I177" s="335"/>
      <c r="J177" s="341">
        <f t="shared" si="9"/>
        <v>0</v>
      </c>
      <c r="K177" s="144"/>
    </row>
    <row r="178" spans="1:11">
      <c r="A178" s="144"/>
      <c r="B178" s="333"/>
      <c r="C178" s="334"/>
      <c r="D178" s="334"/>
      <c r="E178" s="334"/>
      <c r="F178" s="334"/>
      <c r="G178" s="334"/>
      <c r="H178" s="334"/>
      <c r="I178" s="335"/>
      <c r="J178" s="341">
        <f t="shared" si="9"/>
        <v>0</v>
      </c>
      <c r="K178" s="144"/>
    </row>
    <row r="179" spans="1:11" ht="16" thickBot="1">
      <c r="A179" s="144"/>
      <c r="B179" s="333"/>
      <c r="C179" s="334"/>
      <c r="D179" s="334"/>
      <c r="E179" s="334"/>
      <c r="F179" s="334"/>
      <c r="G179" s="334"/>
      <c r="H179" s="334"/>
      <c r="I179" s="335"/>
      <c r="J179" s="342">
        <f t="shared" si="9"/>
        <v>0</v>
      </c>
      <c r="K179" s="144"/>
    </row>
    <row r="180" spans="1:11" ht="16" thickBot="1">
      <c r="A180" s="144"/>
      <c r="B180" s="336"/>
      <c r="C180" s="337"/>
      <c r="D180" s="337"/>
      <c r="E180" s="337"/>
      <c r="F180" s="337"/>
      <c r="G180" s="337"/>
      <c r="H180" s="337"/>
      <c r="I180" s="338"/>
      <c r="J180" s="343">
        <f>SUM(J168:J179)</f>
        <v>0</v>
      </c>
      <c r="K180" s="144"/>
    </row>
    <row r="181" spans="1:11">
      <c r="A181" s="144"/>
      <c r="B181" s="144"/>
      <c r="C181" s="144"/>
      <c r="D181" s="144"/>
      <c r="E181" s="144"/>
      <c r="F181" s="144"/>
      <c r="G181" s="144"/>
      <c r="H181" s="144"/>
      <c r="I181" s="144"/>
      <c r="J181" s="339"/>
      <c r="K181" s="144"/>
    </row>
    <row r="182" spans="1:11">
      <c r="A182" s="144"/>
      <c r="B182" s="425" t="s">
        <v>537</v>
      </c>
      <c r="C182" s="425"/>
      <c r="D182" s="425" t="s">
        <v>538</v>
      </c>
      <c r="E182" s="425"/>
      <c r="F182" s="425"/>
      <c r="G182" s="425"/>
      <c r="H182" s="144"/>
      <c r="I182" s="140" t="s">
        <v>539</v>
      </c>
      <c r="J182" s="339"/>
      <c r="K182" s="144"/>
    </row>
    <row r="183" spans="1:11">
      <c r="A183" s="144"/>
      <c r="B183" s="457" t="str">
        <f>IF(ISBLANK('Raw Material Usage'!$C22),"",_xlfn.XLOOKUP('Raw Material Usage'!$D22,Data!$BR$7:$BR$263,Data!$BS$7:$BS$263))</f>
        <v/>
      </c>
      <c r="C183" s="457"/>
      <c r="D183" s="457" t="str">
        <f>IF(ISBLANK('Raw Material Usage'!$C22),"",_xlfn.XLOOKUP('Raw Material Usage'!D22,Data!$BR$7:$BR$263,Data!$BU$7:$BU$263))</f>
        <v/>
      </c>
      <c r="E183" s="457"/>
      <c r="F183" s="457"/>
      <c r="G183" s="457"/>
      <c r="H183" s="144"/>
      <c r="I183" s="351" t="str">
        <f>IF(ISBLANK('Raw Material Usage'!$C22),"",'Raw Material Usage'!$E22/'Unit Conversions'!$D$12)</f>
        <v/>
      </c>
      <c r="J183" s="339"/>
      <c r="K183" s="144"/>
    </row>
    <row r="184" spans="1:11">
      <c r="A184" s="144"/>
      <c r="B184" s="454" t="s">
        <v>540</v>
      </c>
      <c r="C184" s="454" t="s">
        <v>541</v>
      </c>
      <c r="D184" s="454" t="s">
        <v>51</v>
      </c>
      <c r="E184" s="454" t="s">
        <v>51</v>
      </c>
      <c r="F184" s="454" t="s">
        <v>542</v>
      </c>
      <c r="G184" s="454" t="s">
        <v>51</v>
      </c>
      <c r="H184" s="458" t="s">
        <v>51</v>
      </c>
      <c r="I184" s="454" t="s">
        <v>543</v>
      </c>
      <c r="J184" s="339"/>
      <c r="K184" s="144"/>
    </row>
    <row r="185" spans="1:11" ht="18" thickBot="1">
      <c r="A185" s="144"/>
      <c r="B185" s="455" t="s">
        <v>51</v>
      </c>
      <c r="C185" s="332" t="s">
        <v>544</v>
      </c>
      <c r="D185" s="332" t="s">
        <v>545</v>
      </c>
      <c r="E185" s="332" t="s">
        <v>546</v>
      </c>
      <c r="F185" s="332" t="s">
        <v>544</v>
      </c>
      <c r="G185" s="332" t="s">
        <v>545</v>
      </c>
      <c r="H185" s="332" t="s">
        <v>546</v>
      </c>
      <c r="I185" s="455" t="s">
        <v>51</v>
      </c>
      <c r="J185" s="341">
        <f>SUM(C186,F186,I186)</f>
        <v>0</v>
      </c>
      <c r="K185" s="144"/>
    </row>
    <row r="186" spans="1:11">
      <c r="A186" s="144"/>
      <c r="B186" s="345"/>
      <c r="C186" s="346"/>
      <c r="D186" s="346"/>
      <c r="E186" s="346"/>
      <c r="F186" s="346"/>
      <c r="G186" s="346"/>
      <c r="H186" s="346"/>
      <c r="I186" s="347"/>
      <c r="J186" s="341">
        <f t="shared" ref="J186:J196" si="10">SUM(C187,F187,I187)</f>
        <v>0</v>
      </c>
      <c r="K186" s="144"/>
    </row>
    <row r="187" spans="1:11">
      <c r="A187" s="144"/>
      <c r="B187" s="348"/>
      <c r="C187" s="349"/>
      <c r="D187" s="349"/>
      <c r="E187" s="349"/>
      <c r="F187" s="349"/>
      <c r="G187" s="349"/>
      <c r="H187" s="349"/>
      <c r="I187" s="350"/>
      <c r="J187" s="341">
        <f t="shared" si="10"/>
        <v>0</v>
      </c>
      <c r="K187" s="144"/>
    </row>
    <row r="188" spans="1:11">
      <c r="A188" s="144"/>
      <c r="B188" s="348"/>
      <c r="C188" s="349"/>
      <c r="D188" s="349"/>
      <c r="E188" s="349"/>
      <c r="F188" s="349"/>
      <c r="G188" s="349"/>
      <c r="H188" s="349"/>
      <c r="I188" s="350"/>
      <c r="J188" s="341">
        <f t="shared" si="10"/>
        <v>0</v>
      </c>
      <c r="K188" s="144"/>
    </row>
    <row r="189" spans="1:11">
      <c r="A189" s="144"/>
      <c r="B189" s="348"/>
      <c r="C189" s="349"/>
      <c r="D189" s="349"/>
      <c r="E189" s="349"/>
      <c r="F189" s="349"/>
      <c r="G189" s="349"/>
      <c r="H189" s="349"/>
      <c r="I189" s="350"/>
      <c r="J189" s="341">
        <f t="shared" si="10"/>
        <v>0</v>
      </c>
      <c r="K189" s="144"/>
    </row>
    <row r="190" spans="1:11">
      <c r="A190" s="144"/>
      <c r="B190" s="348"/>
      <c r="C190" s="349"/>
      <c r="D190" s="349"/>
      <c r="E190" s="349"/>
      <c r="F190" s="349"/>
      <c r="G190" s="349"/>
      <c r="H190" s="349"/>
      <c r="I190" s="350"/>
      <c r="J190" s="341">
        <f t="shared" si="10"/>
        <v>0</v>
      </c>
      <c r="K190" s="144"/>
    </row>
    <row r="191" spans="1:11">
      <c r="A191" s="144"/>
      <c r="B191" s="348"/>
      <c r="C191" s="349"/>
      <c r="D191" s="349"/>
      <c r="E191" s="349"/>
      <c r="F191" s="349"/>
      <c r="G191" s="349"/>
      <c r="H191" s="349"/>
      <c r="I191" s="350"/>
      <c r="J191" s="341">
        <f t="shared" si="10"/>
        <v>0</v>
      </c>
      <c r="K191" s="144"/>
    </row>
    <row r="192" spans="1:11">
      <c r="A192" s="144"/>
      <c r="B192" s="348"/>
      <c r="C192" s="349"/>
      <c r="D192" s="349"/>
      <c r="E192" s="349"/>
      <c r="F192" s="349"/>
      <c r="G192" s="349"/>
      <c r="H192" s="349"/>
      <c r="I192" s="350"/>
      <c r="J192" s="341">
        <f t="shared" si="10"/>
        <v>0</v>
      </c>
      <c r="K192" s="144"/>
    </row>
    <row r="193" spans="1:11">
      <c r="A193" s="144"/>
      <c r="B193" s="333"/>
      <c r="C193" s="334"/>
      <c r="D193" s="334"/>
      <c r="E193" s="334"/>
      <c r="F193" s="334"/>
      <c r="G193" s="334"/>
      <c r="H193" s="334"/>
      <c r="I193" s="335"/>
      <c r="J193" s="341">
        <f t="shared" si="10"/>
        <v>0</v>
      </c>
      <c r="K193" s="144"/>
    </row>
    <row r="194" spans="1:11">
      <c r="A194" s="144"/>
      <c r="B194" s="333"/>
      <c r="C194" s="334"/>
      <c r="D194" s="334"/>
      <c r="E194" s="334"/>
      <c r="F194" s="334"/>
      <c r="G194" s="334"/>
      <c r="H194" s="334"/>
      <c r="I194" s="335"/>
      <c r="J194" s="341">
        <f t="shared" si="10"/>
        <v>0</v>
      </c>
      <c r="K194" s="144"/>
    </row>
    <row r="195" spans="1:11">
      <c r="A195" s="144"/>
      <c r="B195" s="333"/>
      <c r="C195" s="334"/>
      <c r="D195" s="334"/>
      <c r="E195" s="334"/>
      <c r="F195" s="334"/>
      <c r="G195" s="334"/>
      <c r="H195" s="334"/>
      <c r="I195" s="335"/>
      <c r="J195" s="341">
        <f t="shared" si="10"/>
        <v>0</v>
      </c>
      <c r="K195" s="144"/>
    </row>
    <row r="196" spans="1:11" ht="16" thickBot="1">
      <c r="A196" s="144"/>
      <c r="B196" s="333"/>
      <c r="C196" s="334"/>
      <c r="D196" s="334"/>
      <c r="E196" s="334"/>
      <c r="F196" s="334"/>
      <c r="G196" s="334"/>
      <c r="H196" s="334"/>
      <c r="I196" s="335"/>
      <c r="J196" s="342">
        <f t="shared" si="10"/>
        <v>0</v>
      </c>
      <c r="K196" s="144"/>
    </row>
    <row r="197" spans="1:11" ht="16" thickBot="1">
      <c r="A197" s="144"/>
      <c r="B197" s="336"/>
      <c r="C197" s="337"/>
      <c r="D197" s="337"/>
      <c r="E197" s="337"/>
      <c r="F197" s="337"/>
      <c r="G197" s="337"/>
      <c r="H197" s="337"/>
      <c r="I197" s="338"/>
      <c r="J197" s="343">
        <f>SUM(J185:J196)</f>
        <v>0</v>
      </c>
      <c r="K197" s="144"/>
    </row>
    <row r="198" spans="1:11">
      <c r="A198" s="144"/>
      <c r="B198" s="144"/>
      <c r="C198" s="144"/>
      <c r="D198" s="144"/>
      <c r="E198" s="144"/>
      <c r="F198" s="144"/>
      <c r="G198" s="144"/>
      <c r="H198" s="144"/>
      <c r="I198" s="144"/>
      <c r="J198" s="339"/>
      <c r="K198" s="144"/>
    </row>
    <row r="199" spans="1:11">
      <c r="A199" s="144"/>
      <c r="B199" s="425" t="s">
        <v>537</v>
      </c>
      <c r="C199" s="425"/>
      <c r="D199" s="425" t="s">
        <v>538</v>
      </c>
      <c r="E199" s="425"/>
      <c r="F199" s="425"/>
      <c r="G199" s="425"/>
      <c r="H199" s="144"/>
      <c r="I199" s="140" t="s">
        <v>539</v>
      </c>
      <c r="J199" s="339"/>
      <c r="K199" s="144"/>
    </row>
    <row r="200" spans="1:11" ht="16" thickBot="1">
      <c r="A200" s="144"/>
      <c r="B200" s="457" t="str">
        <f>IF(ISBLANK('Raw Material Usage'!$C23),"",_xlfn.XLOOKUP('Raw Material Usage'!$D23,Data!$BR$7:$BR$263,Data!$BS$7:$BS$263))</f>
        <v/>
      </c>
      <c r="C200" s="457"/>
      <c r="D200" s="457" t="str">
        <f>IF(ISBLANK('Raw Material Usage'!$C23),"",_xlfn.XLOOKUP('Raw Material Usage'!D23,Data!$BR$7:$BR$263,Data!$BU$7:$BU$263))</f>
        <v/>
      </c>
      <c r="E200" s="457"/>
      <c r="F200" s="457"/>
      <c r="G200" s="457"/>
      <c r="H200" s="144"/>
      <c r="I200" s="353" t="str">
        <f>IF(ISBLANK('Raw Material Usage'!$C23),"",'Raw Material Usage'!$E23/'Unit Conversions'!$D$12)</f>
        <v/>
      </c>
      <c r="J200" s="339"/>
      <c r="K200" s="144"/>
    </row>
    <row r="201" spans="1:11">
      <c r="A201" s="144"/>
      <c r="B201" s="459" t="s">
        <v>540</v>
      </c>
      <c r="C201" s="461" t="s">
        <v>541</v>
      </c>
      <c r="D201" s="461" t="s">
        <v>51</v>
      </c>
      <c r="E201" s="461" t="s">
        <v>51</v>
      </c>
      <c r="F201" s="461" t="s">
        <v>542</v>
      </c>
      <c r="G201" s="461" t="s">
        <v>51</v>
      </c>
      <c r="H201" s="461" t="s">
        <v>51</v>
      </c>
      <c r="I201" s="462" t="s">
        <v>543</v>
      </c>
      <c r="J201" s="339"/>
      <c r="K201" s="144"/>
    </row>
    <row r="202" spans="1:11" ht="17">
      <c r="A202" s="144"/>
      <c r="B202" s="460" t="s">
        <v>51</v>
      </c>
      <c r="C202" s="332" t="s">
        <v>544</v>
      </c>
      <c r="D202" s="332" t="s">
        <v>545</v>
      </c>
      <c r="E202" s="332" t="s">
        <v>546</v>
      </c>
      <c r="F202" s="332" t="s">
        <v>544</v>
      </c>
      <c r="G202" s="332" t="s">
        <v>545</v>
      </c>
      <c r="H202" s="332" t="s">
        <v>546</v>
      </c>
      <c r="I202" s="463" t="s">
        <v>51</v>
      </c>
      <c r="J202" s="341">
        <f>SUM(C203,F203,I203)</f>
        <v>0</v>
      </c>
      <c r="K202" s="144"/>
    </row>
    <row r="203" spans="1:11">
      <c r="A203" s="144"/>
      <c r="B203" s="348"/>
      <c r="C203" s="349"/>
      <c r="D203" s="349"/>
      <c r="E203" s="349"/>
      <c r="F203" s="349"/>
      <c r="G203" s="349"/>
      <c r="H203" s="349"/>
      <c r="I203" s="350"/>
      <c r="J203" s="341">
        <f t="shared" ref="J203:J213" si="11">SUM(C204,F204,I204)</f>
        <v>0</v>
      </c>
      <c r="K203" s="144"/>
    </row>
    <row r="204" spans="1:11">
      <c r="A204" s="144"/>
      <c r="B204" s="348"/>
      <c r="C204" s="349"/>
      <c r="D204" s="349"/>
      <c r="E204" s="349"/>
      <c r="F204" s="349"/>
      <c r="G204" s="349"/>
      <c r="H204" s="349"/>
      <c r="I204" s="350"/>
      <c r="J204" s="341">
        <f t="shared" si="11"/>
        <v>0</v>
      </c>
      <c r="K204" s="144"/>
    </row>
    <row r="205" spans="1:11">
      <c r="A205" s="144"/>
      <c r="B205" s="348"/>
      <c r="C205" s="349"/>
      <c r="D205" s="349"/>
      <c r="E205" s="349"/>
      <c r="F205" s="349"/>
      <c r="G205" s="349"/>
      <c r="H205" s="349"/>
      <c r="I205" s="350"/>
      <c r="J205" s="341">
        <f t="shared" si="11"/>
        <v>0</v>
      </c>
      <c r="K205" s="144"/>
    </row>
    <row r="206" spans="1:11">
      <c r="A206" s="144"/>
      <c r="B206" s="348"/>
      <c r="C206" s="349"/>
      <c r="D206" s="349"/>
      <c r="E206" s="349"/>
      <c r="F206" s="349"/>
      <c r="G206" s="349"/>
      <c r="H206" s="349"/>
      <c r="I206" s="350"/>
      <c r="J206" s="341">
        <f t="shared" si="11"/>
        <v>0</v>
      </c>
      <c r="K206" s="144"/>
    </row>
    <row r="207" spans="1:11">
      <c r="A207" s="144"/>
      <c r="B207" s="348"/>
      <c r="C207" s="349"/>
      <c r="D207" s="349"/>
      <c r="E207" s="349"/>
      <c r="F207" s="349"/>
      <c r="G207" s="349"/>
      <c r="H207" s="349"/>
      <c r="I207" s="350"/>
      <c r="J207" s="341">
        <f t="shared" si="11"/>
        <v>0</v>
      </c>
      <c r="K207" s="144"/>
    </row>
    <row r="208" spans="1:11">
      <c r="A208" s="144"/>
      <c r="B208" s="348"/>
      <c r="C208" s="349"/>
      <c r="D208" s="349"/>
      <c r="E208" s="349"/>
      <c r="F208" s="349"/>
      <c r="G208" s="349"/>
      <c r="H208" s="349"/>
      <c r="I208" s="350"/>
      <c r="J208" s="341">
        <f t="shared" si="11"/>
        <v>0</v>
      </c>
      <c r="K208" s="144"/>
    </row>
    <row r="209" spans="1:11">
      <c r="A209" s="144"/>
      <c r="B209" s="348"/>
      <c r="C209" s="349"/>
      <c r="D209" s="349"/>
      <c r="E209" s="349"/>
      <c r="F209" s="349"/>
      <c r="G209" s="349"/>
      <c r="H209" s="349"/>
      <c r="I209" s="350"/>
      <c r="J209" s="341">
        <f t="shared" si="11"/>
        <v>0</v>
      </c>
      <c r="K209" s="144"/>
    </row>
    <row r="210" spans="1:11">
      <c r="A210" s="144"/>
      <c r="B210" s="333"/>
      <c r="C210" s="334"/>
      <c r="D210" s="334"/>
      <c r="E210" s="334"/>
      <c r="F210" s="334"/>
      <c r="G210" s="334"/>
      <c r="H210" s="334"/>
      <c r="I210" s="335"/>
      <c r="J210" s="341">
        <f t="shared" si="11"/>
        <v>0</v>
      </c>
      <c r="K210" s="144"/>
    </row>
    <row r="211" spans="1:11">
      <c r="A211" s="144"/>
      <c r="B211" s="333"/>
      <c r="C211" s="334"/>
      <c r="D211" s="334"/>
      <c r="E211" s="334"/>
      <c r="F211" s="334"/>
      <c r="G211" s="334"/>
      <c r="H211" s="334"/>
      <c r="I211" s="335"/>
      <c r="J211" s="341">
        <f t="shared" si="11"/>
        <v>0</v>
      </c>
      <c r="K211" s="144"/>
    </row>
    <row r="212" spans="1:11">
      <c r="A212" s="144"/>
      <c r="B212" s="333"/>
      <c r="C212" s="334"/>
      <c r="D212" s="334"/>
      <c r="E212" s="334"/>
      <c r="F212" s="334"/>
      <c r="G212" s="334"/>
      <c r="H212" s="334"/>
      <c r="I212" s="335"/>
      <c r="J212" s="341">
        <f t="shared" si="11"/>
        <v>0</v>
      </c>
      <c r="K212" s="144"/>
    </row>
    <row r="213" spans="1:11" ht="16" thickBot="1">
      <c r="A213" s="144"/>
      <c r="B213" s="333"/>
      <c r="C213" s="334"/>
      <c r="D213" s="334"/>
      <c r="E213" s="334"/>
      <c r="F213" s="334"/>
      <c r="G213" s="334"/>
      <c r="H213" s="334"/>
      <c r="I213" s="335"/>
      <c r="J213" s="342">
        <f t="shared" si="11"/>
        <v>0</v>
      </c>
      <c r="K213" s="144"/>
    </row>
    <row r="214" spans="1:11" ht="16" thickBot="1">
      <c r="A214" s="144"/>
      <c r="B214" s="336"/>
      <c r="C214" s="337"/>
      <c r="D214" s="337"/>
      <c r="E214" s="337"/>
      <c r="F214" s="337"/>
      <c r="G214" s="337"/>
      <c r="H214" s="337"/>
      <c r="I214" s="338"/>
      <c r="J214" s="343">
        <f>SUM(J202:J213)</f>
        <v>0</v>
      </c>
      <c r="K214" s="144"/>
    </row>
    <row r="215" spans="1:11">
      <c r="A215" s="144"/>
      <c r="B215" s="144"/>
      <c r="C215" s="144"/>
      <c r="D215" s="144"/>
      <c r="E215" s="144"/>
      <c r="F215" s="144"/>
      <c r="G215" s="144"/>
      <c r="H215" s="144"/>
      <c r="I215" s="144"/>
      <c r="J215" s="339"/>
      <c r="K215" s="144"/>
    </row>
    <row r="216" spans="1:11">
      <c r="A216" s="144"/>
      <c r="B216" s="425" t="s">
        <v>537</v>
      </c>
      <c r="C216" s="425"/>
      <c r="D216" s="425" t="s">
        <v>538</v>
      </c>
      <c r="E216" s="425"/>
      <c r="F216" s="425"/>
      <c r="G216" s="425"/>
      <c r="H216" s="144"/>
      <c r="I216" s="140" t="s">
        <v>539</v>
      </c>
      <c r="J216" s="339"/>
      <c r="K216" s="144"/>
    </row>
    <row r="217" spans="1:11">
      <c r="A217" s="144"/>
      <c r="B217" s="457" t="str">
        <f>IF(ISBLANK('Raw Material Usage'!$C24),"",_xlfn.XLOOKUP('Raw Material Usage'!$D24,Data!$BR$7:$BR$263,Data!$BS$7:$BS$263))</f>
        <v/>
      </c>
      <c r="C217" s="457"/>
      <c r="D217" s="457" t="str">
        <f>IF(ISBLANK('Raw Material Usage'!$C24),"",_xlfn.XLOOKUP('Raw Material Usage'!D24,Data!$BR$7:$BR$263,Data!$BU$7:$BU$263))</f>
        <v/>
      </c>
      <c r="E217" s="457"/>
      <c r="F217" s="457"/>
      <c r="G217" s="457"/>
      <c r="H217" s="144"/>
      <c r="I217" s="351" t="str">
        <f>IF(ISBLANK('Raw Material Usage'!$C24),"",'Raw Material Usage'!$E24/'Unit Conversions'!$D$12)</f>
        <v/>
      </c>
      <c r="J217" s="339"/>
      <c r="K217" s="144"/>
    </row>
    <row r="218" spans="1:11">
      <c r="A218" s="144"/>
      <c r="B218" s="454" t="s">
        <v>540</v>
      </c>
      <c r="C218" s="454" t="s">
        <v>541</v>
      </c>
      <c r="D218" s="454" t="s">
        <v>51</v>
      </c>
      <c r="E218" s="454" t="s">
        <v>51</v>
      </c>
      <c r="F218" s="454" t="s">
        <v>542</v>
      </c>
      <c r="G218" s="454" t="s">
        <v>51</v>
      </c>
      <c r="H218" s="458" t="s">
        <v>51</v>
      </c>
      <c r="I218" s="454" t="s">
        <v>543</v>
      </c>
      <c r="J218" s="339"/>
      <c r="K218" s="144"/>
    </row>
    <row r="219" spans="1:11" ht="18" thickBot="1">
      <c r="A219" s="144"/>
      <c r="B219" s="455" t="s">
        <v>51</v>
      </c>
      <c r="C219" s="332" t="s">
        <v>544</v>
      </c>
      <c r="D219" s="332" t="s">
        <v>545</v>
      </c>
      <c r="E219" s="332" t="s">
        <v>546</v>
      </c>
      <c r="F219" s="332" t="s">
        <v>544</v>
      </c>
      <c r="G219" s="332" t="s">
        <v>545</v>
      </c>
      <c r="H219" s="332" t="s">
        <v>546</v>
      </c>
      <c r="I219" s="455" t="s">
        <v>51</v>
      </c>
      <c r="J219" s="341">
        <f>SUM(C220,F220,I220)</f>
        <v>0</v>
      </c>
      <c r="K219" s="144"/>
    </row>
    <row r="220" spans="1:11">
      <c r="A220" s="144"/>
      <c r="B220" s="345"/>
      <c r="C220" s="346"/>
      <c r="D220" s="346"/>
      <c r="E220" s="346"/>
      <c r="F220" s="346"/>
      <c r="G220" s="346"/>
      <c r="H220" s="346"/>
      <c r="I220" s="347"/>
      <c r="J220" s="341">
        <f t="shared" ref="J220:J230" si="12">SUM(C221,F221,I221)</f>
        <v>0</v>
      </c>
      <c r="K220" s="144"/>
    </row>
    <row r="221" spans="1:11">
      <c r="A221" s="144"/>
      <c r="B221" s="348"/>
      <c r="C221" s="349"/>
      <c r="D221" s="349"/>
      <c r="E221" s="349"/>
      <c r="F221" s="349"/>
      <c r="G221" s="349"/>
      <c r="H221" s="349"/>
      <c r="I221" s="350"/>
      <c r="J221" s="341">
        <f t="shared" si="12"/>
        <v>0</v>
      </c>
      <c r="K221" s="144"/>
    </row>
    <row r="222" spans="1:11">
      <c r="A222" s="144"/>
      <c r="B222" s="348"/>
      <c r="C222" s="349"/>
      <c r="D222" s="349"/>
      <c r="E222" s="349"/>
      <c r="F222" s="349"/>
      <c r="G222" s="349"/>
      <c r="H222" s="349"/>
      <c r="I222" s="350"/>
      <c r="J222" s="341">
        <f t="shared" si="12"/>
        <v>0</v>
      </c>
      <c r="K222" s="144"/>
    </row>
    <row r="223" spans="1:11">
      <c r="A223" s="144"/>
      <c r="B223" s="348"/>
      <c r="C223" s="349"/>
      <c r="D223" s="349"/>
      <c r="E223" s="349"/>
      <c r="F223" s="349"/>
      <c r="G223" s="349"/>
      <c r="H223" s="349"/>
      <c r="I223" s="350"/>
      <c r="J223" s="341">
        <f t="shared" si="12"/>
        <v>0</v>
      </c>
      <c r="K223" s="144"/>
    </row>
    <row r="224" spans="1:11">
      <c r="A224" s="144"/>
      <c r="B224" s="348"/>
      <c r="C224" s="349"/>
      <c r="D224" s="349"/>
      <c r="E224" s="349"/>
      <c r="F224" s="349"/>
      <c r="G224" s="349"/>
      <c r="H224" s="349"/>
      <c r="I224" s="350"/>
      <c r="J224" s="341">
        <f t="shared" si="12"/>
        <v>0</v>
      </c>
      <c r="K224" s="144"/>
    </row>
    <row r="225" spans="1:11">
      <c r="A225" s="144"/>
      <c r="B225" s="348"/>
      <c r="C225" s="349"/>
      <c r="D225" s="349"/>
      <c r="E225" s="349"/>
      <c r="F225" s="349"/>
      <c r="G225" s="349"/>
      <c r="H225" s="349"/>
      <c r="I225" s="350"/>
      <c r="J225" s="341">
        <f t="shared" si="12"/>
        <v>0</v>
      </c>
      <c r="K225" s="144"/>
    </row>
    <row r="226" spans="1:11">
      <c r="A226" s="144"/>
      <c r="B226" s="348"/>
      <c r="C226" s="349"/>
      <c r="D226" s="349"/>
      <c r="E226" s="349"/>
      <c r="F226" s="349"/>
      <c r="G226" s="349"/>
      <c r="H226" s="349"/>
      <c r="I226" s="350"/>
      <c r="J226" s="341">
        <f t="shared" si="12"/>
        <v>0</v>
      </c>
      <c r="K226" s="144"/>
    </row>
    <row r="227" spans="1:11">
      <c r="A227" s="144"/>
      <c r="B227" s="333"/>
      <c r="C227" s="334"/>
      <c r="D227" s="334"/>
      <c r="E227" s="334"/>
      <c r="F227" s="334"/>
      <c r="G227" s="334"/>
      <c r="H227" s="334"/>
      <c r="I227" s="335"/>
      <c r="J227" s="341">
        <f t="shared" si="12"/>
        <v>0</v>
      </c>
      <c r="K227" s="144"/>
    </row>
    <row r="228" spans="1:11">
      <c r="A228" s="144"/>
      <c r="B228" s="333"/>
      <c r="C228" s="334"/>
      <c r="D228" s="334"/>
      <c r="E228" s="334"/>
      <c r="F228" s="334"/>
      <c r="G228" s="334"/>
      <c r="H228" s="334"/>
      <c r="I228" s="335"/>
      <c r="J228" s="341">
        <f t="shared" si="12"/>
        <v>0</v>
      </c>
      <c r="K228" s="144"/>
    </row>
    <row r="229" spans="1:11">
      <c r="A229" s="144"/>
      <c r="B229" s="333"/>
      <c r="C229" s="334"/>
      <c r="D229" s="334"/>
      <c r="E229" s="334"/>
      <c r="F229" s="334"/>
      <c r="G229" s="334"/>
      <c r="H229" s="334"/>
      <c r="I229" s="335"/>
      <c r="J229" s="341">
        <f t="shared" si="12"/>
        <v>0</v>
      </c>
      <c r="K229" s="144"/>
    </row>
    <row r="230" spans="1:11" ht="16" thickBot="1">
      <c r="A230" s="144"/>
      <c r="B230" s="333"/>
      <c r="C230" s="334"/>
      <c r="D230" s="334"/>
      <c r="E230" s="334"/>
      <c r="F230" s="334"/>
      <c r="G230" s="334"/>
      <c r="H230" s="334"/>
      <c r="I230" s="335"/>
      <c r="J230" s="342">
        <f t="shared" si="12"/>
        <v>0</v>
      </c>
      <c r="K230" s="144"/>
    </row>
    <row r="231" spans="1:11" ht="16" thickBot="1">
      <c r="A231" s="144"/>
      <c r="B231" s="336"/>
      <c r="C231" s="337"/>
      <c r="D231" s="337"/>
      <c r="E231" s="337"/>
      <c r="F231" s="337"/>
      <c r="G231" s="337"/>
      <c r="H231" s="337"/>
      <c r="I231" s="338"/>
      <c r="J231" s="343">
        <f>SUM(J219:J230)</f>
        <v>0</v>
      </c>
      <c r="K231" s="144"/>
    </row>
    <row r="232" spans="1:11">
      <c r="A232" s="144"/>
      <c r="B232" s="144"/>
      <c r="C232" s="144"/>
      <c r="D232" s="144"/>
      <c r="E232" s="144"/>
      <c r="F232" s="144"/>
      <c r="G232" s="144"/>
      <c r="H232" s="144"/>
      <c r="I232" s="144"/>
      <c r="J232" s="339"/>
      <c r="K232" s="144"/>
    </row>
    <row r="233" spans="1:11">
      <c r="A233" s="144"/>
      <c r="B233" s="425" t="s">
        <v>537</v>
      </c>
      <c r="C233" s="425"/>
      <c r="D233" s="425" t="s">
        <v>538</v>
      </c>
      <c r="E233" s="425"/>
      <c r="F233" s="425"/>
      <c r="G233" s="425"/>
      <c r="H233" s="144"/>
      <c r="I233" s="140" t="s">
        <v>539</v>
      </c>
      <c r="J233" s="339"/>
      <c r="K233" s="144"/>
    </row>
    <row r="234" spans="1:11">
      <c r="A234" s="144"/>
      <c r="B234" s="457" t="str">
        <f>IF(ISBLANK('Raw Material Usage'!$C25),"",_xlfn.XLOOKUP('Raw Material Usage'!$D25,Data!$BR$7:$BR$263,Data!$BS$7:$BS$263))</f>
        <v/>
      </c>
      <c r="C234" s="457"/>
      <c r="D234" s="457" t="str">
        <f>IF(ISBLANK('Raw Material Usage'!$C25),"",_xlfn.XLOOKUP('Raw Material Usage'!D25,Data!$BR$7:$BR$263,Data!$BU$7:$BU$263))</f>
        <v/>
      </c>
      <c r="E234" s="457"/>
      <c r="F234" s="457"/>
      <c r="G234" s="457"/>
      <c r="H234" s="144"/>
      <c r="I234" s="351" t="str">
        <f>IF(ISBLANK('Raw Material Usage'!$C25),"",'Raw Material Usage'!$E25/'Unit Conversions'!$D$12)</f>
        <v/>
      </c>
      <c r="J234" s="339"/>
      <c r="K234" s="144"/>
    </row>
    <row r="235" spans="1:11">
      <c r="A235" s="144"/>
      <c r="B235" s="454" t="s">
        <v>540</v>
      </c>
      <c r="C235" s="454" t="s">
        <v>541</v>
      </c>
      <c r="D235" s="454" t="s">
        <v>51</v>
      </c>
      <c r="E235" s="454" t="s">
        <v>51</v>
      </c>
      <c r="F235" s="454" t="s">
        <v>542</v>
      </c>
      <c r="G235" s="454" t="s">
        <v>51</v>
      </c>
      <c r="H235" s="458" t="s">
        <v>51</v>
      </c>
      <c r="I235" s="454" t="s">
        <v>543</v>
      </c>
      <c r="J235" s="339"/>
      <c r="K235" s="144"/>
    </row>
    <row r="236" spans="1:11" ht="18" thickBot="1">
      <c r="A236" s="144"/>
      <c r="B236" s="455" t="s">
        <v>51</v>
      </c>
      <c r="C236" s="332" t="s">
        <v>544</v>
      </c>
      <c r="D236" s="332" t="s">
        <v>545</v>
      </c>
      <c r="E236" s="332" t="s">
        <v>546</v>
      </c>
      <c r="F236" s="332" t="s">
        <v>544</v>
      </c>
      <c r="G236" s="332" t="s">
        <v>545</v>
      </c>
      <c r="H236" s="332" t="s">
        <v>546</v>
      </c>
      <c r="I236" s="455" t="s">
        <v>51</v>
      </c>
      <c r="J236" s="341">
        <f>SUM(C237,F237,I237)</f>
        <v>0</v>
      </c>
      <c r="K236" s="144"/>
    </row>
    <row r="237" spans="1:11">
      <c r="A237" s="144"/>
      <c r="B237" s="345"/>
      <c r="C237" s="346"/>
      <c r="D237" s="346"/>
      <c r="E237" s="346"/>
      <c r="F237" s="346"/>
      <c r="G237" s="346"/>
      <c r="H237" s="346"/>
      <c r="I237" s="347"/>
      <c r="J237" s="341">
        <f t="shared" ref="J237:J247" si="13">SUM(C238,F238,I238)</f>
        <v>0</v>
      </c>
      <c r="K237" s="144"/>
    </row>
    <row r="238" spans="1:11">
      <c r="A238" s="144"/>
      <c r="B238" s="348"/>
      <c r="C238" s="349"/>
      <c r="D238" s="349"/>
      <c r="E238" s="349"/>
      <c r="F238" s="349"/>
      <c r="G238" s="349"/>
      <c r="H238" s="349"/>
      <c r="I238" s="350"/>
      <c r="J238" s="341">
        <f t="shared" si="13"/>
        <v>0</v>
      </c>
      <c r="K238" s="144"/>
    </row>
    <row r="239" spans="1:11">
      <c r="A239" s="144"/>
      <c r="B239" s="348"/>
      <c r="C239" s="349"/>
      <c r="D239" s="349"/>
      <c r="E239" s="349"/>
      <c r="F239" s="349"/>
      <c r="G239" s="349"/>
      <c r="H239" s="349"/>
      <c r="I239" s="350"/>
      <c r="J239" s="341">
        <f t="shared" si="13"/>
        <v>0</v>
      </c>
      <c r="K239" s="144"/>
    </row>
    <row r="240" spans="1:11">
      <c r="A240" s="144"/>
      <c r="B240" s="348"/>
      <c r="C240" s="349"/>
      <c r="D240" s="349"/>
      <c r="E240" s="349"/>
      <c r="F240" s="349"/>
      <c r="G240" s="349"/>
      <c r="H240" s="349"/>
      <c r="I240" s="350"/>
      <c r="J240" s="341">
        <f t="shared" si="13"/>
        <v>0</v>
      </c>
      <c r="K240" s="144"/>
    </row>
    <row r="241" spans="1:11">
      <c r="A241" s="144"/>
      <c r="B241" s="348"/>
      <c r="C241" s="349"/>
      <c r="D241" s="349"/>
      <c r="E241" s="349"/>
      <c r="F241" s="349"/>
      <c r="G241" s="349"/>
      <c r="H241" s="349"/>
      <c r="I241" s="350"/>
      <c r="J241" s="341">
        <f t="shared" si="13"/>
        <v>0</v>
      </c>
      <c r="K241" s="144"/>
    </row>
    <row r="242" spans="1:11">
      <c r="A242" s="144"/>
      <c r="B242" s="348"/>
      <c r="C242" s="349"/>
      <c r="D242" s="349"/>
      <c r="E242" s="349"/>
      <c r="F242" s="349"/>
      <c r="G242" s="349"/>
      <c r="H242" s="349"/>
      <c r="I242" s="350"/>
      <c r="J242" s="341">
        <f t="shared" si="13"/>
        <v>0</v>
      </c>
      <c r="K242" s="144"/>
    </row>
    <row r="243" spans="1:11">
      <c r="A243" s="144"/>
      <c r="B243" s="348"/>
      <c r="C243" s="349"/>
      <c r="D243" s="349"/>
      <c r="E243" s="349"/>
      <c r="F243" s="349"/>
      <c r="G243" s="349"/>
      <c r="H243" s="349"/>
      <c r="I243" s="350"/>
      <c r="J243" s="341">
        <f t="shared" si="13"/>
        <v>0</v>
      </c>
      <c r="K243" s="144"/>
    </row>
    <row r="244" spans="1:11">
      <c r="A244" s="144"/>
      <c r="B244" s="333"/>
      <c r="C244" s="334"/>
      <c r="D244" s="334"/>
      <c r="E244" s="334"/>
      <c r="F244" s="334"/>
      <c r="G244" s="334"/>
      <c r="H244" s="334"/>
      <c r="I244" s="335"/>
      <c r="J244" s="341">
        <f t="shared" si="13"/>
        <v>0</v>
      </c>
      <c r="K244" s="144"/>
    </row>
    <row r="245" spans="1:11">
      <c r="A245" s="144"/>
      <c r="B245" s="333"/>
      <c r="C245" s="334"/>
      <c r="D245" s="334"/>
      <c r="E245" s="334"/>
      <c r="F245" s="334"/>
      <c r="G245" s="334"/>
      <c r="H245" s="334"/>
      <c r="I245" s="335"/>
      <c r="J245" s="341">
        <f t="shared" si="13"/>
        <v>0</v>
      </c>
      <c r="K245" s="144"/>
    </row>
    <row r="246" spans="1:11">
      <c r="A246" s="144"/>
      <c r="B246" s="333"/>
      <c r="C246" s="334"/>
      <c r="D246" s="334"/>
      <c r="E246" s="334"/>
      <c r="F246" s="334"/>
      <c r="G246" s="334"/>
      <c r="H246" s="334"/>
      <c r="I246" s="335"/>
      <c r="J246" s="341">
        <f t="shared" si="13"/>
        <v>0</v>
      </c>
      <c r="K246" s="144"/>
    </row>
    <row r="247" spans="1:11" ht="16" thickBot="1">
      <c r="A247" s="144"/>
      <c r="B247" s="333"/>
      <c r="C247" s="334"/>
      <c r="D247" s="334"/>
      <c r="E247" s="334"/>
      <c r="F247" s="334"/>
      <c r="G247" s="334"/>
      <c r="H247" s="334"/>
      <c r="I247" s="335"/>
      <c r="J247" s="342">
        <f t="shared" si="13"/>
        <v>0</v>
      </c>
      <c r="K247" s="144"/>
    </row>
    <row r="248" spans="1:11" ht="16" thickBot="1">
      <c r="A248" s="144"/>
      <c r="B248" s="336"/>
      <c r="C248" s="337"/>
      <c r="D248" s="337"/>
      <c r="E248" s="337"/>
      <c r="F248" s="337"/>
      <c r="G248" s="337"/>
      <c r="H248" s="337"/>
      <c r="I248" s="338"/>
      <c r="J248" s="343">
        <f>SUM(J236:J247)</f>
        <v>0</v>
      </c>
      <c r="K248" s="144"/>
    </row>
    <row r="249" spans="1:11">
      <c r="A249" s="144"/>
      <c r="B249" s="144"/>
      <c r="C249" s="144"/>
      <c r="D249" s="144"/>
      <c r="E249" s="144"/>
      <c r="F249" s="144"/>
      <c r="G249" s="144"/>
      <c r="H249" s="144"/>
      <c r="I249" s="144"/>
      <c r="J249" s="339"/>
      <c r="K249" s="144"/>
    </row>
    <row r="250" spans="1:11">
      <c r="A250" s="144"/>
      <c r="B250" s="425" t="s">
        <v>537</v>
      </c>
      <c r="C250" s="425"/>
      <c r="D250" s="425" t="s">
        <v>538</v>
      </c>
      <c r="E250" s="425"/>
      <c r="F250" s="425"/>
      <c r="G250" s="425"/>
      <c r="H250" s="144"/>
      <c r="I250" s="140" t="s">
        <v>539</v>
      </c>
      <c r="J250" s="339"/>
      <c r="K250" s="144"/>
    </row>
    <row r="251" spans="1:11">
      <c r="A251" s="144"/>
      <c r="B251" s="457" t="str">
        <f>IF(ISBLANK('Raw Material Usage'!$C26),"",_xlfn.XLOOKUP('Raw Material Usage'!$D26,Data!$BR$7:$BR$263,Data!$BS$7:$BS$263))</f>
        <v/>
      </c>
      <c r="C251" s="457"/>
      <c r="D251" s="457" t="str">
        <f>IF(ISBLANK('Raw Material Usage'!$C26),"",_xlfn.XLOOKUP('Raw Material Usage'!D26,Data!$BR$7:$BR$263,Data!$BU$7:$BU$263))</f>
        <v/>
      </c>
      <c r="E251" s="457"/>
      <c r="F251" s="457"/>
      <c r="G251" s="457"/>
      <c r="H251" s="144"/>
      <c r="I251" s="351" t="str">
        <f>IF(ISBLANK('Raw Material Usage'!$C26),"",'Raw Material Usage'!$E26/'Unit Conversions'!$D$12)</f>
        <v/>
      </c>
      <c r="J251" s="339"/>
      <c r="K251" s="144"/>
    </row>
    <row r="252" spans="1:11">
      <c r="A252" s="144"/>
      <c r="B252" s="454" t="s">
        <v>540</v>
      </c>
      <c r="C252" s="454" t="s">
        <v>541</v>
      </c>
      <c r="D252" s="454" t="s">
        <v>51</v>
      </c>
      <c r="E252" s="454" t="s">
        <v>51</v>
      </c>
      <c r="F252" s="454" t="s">
        <v>542</v>
      </c>
      <c r="G252" s="454" t="s">
        <v>51</v>
      </c>
      <c r="H252" s="458" t="s">
        <v>51</v>
      </c>
      <c r="I252" s="454" t="s">
        <v>543</v>
      </c>
      <c r="J252" s="339"/>
      <c r="K252" s="144"/>
    </row>
    <row r="253" spans="1:11" ht="18" thickBot="1">
      <c r="A253" s="144"/>
      <c r="B253" s="455" t="s">
        <v>51</v>
      </c>
      <c r="C253" s="332" t="s">
        <v>544</v>
      </c>
      <c r="D253" s="332" t="s">
        <v>545</v>
      </c>
      <c r="E253" s="332" t="s">
        <v>546</v>
      </c>
      <c r="F253" s="332" t="s">
        <v>544</v>
      </c>
      <c r="G253" s="332" t="s">
        <v>545</v>
      </c>
      <c r="H253" s="332" t="s">
        <v>546</v>
      </c>
      <c r="I253" s="455" t="s">
        <v>51</v>
      </c>
      <c r="J253" s="341">
        <f>SUM(C254,F254,I254)</f>
        <v>0</v>
      </c>
      <c r="K253" s="144"/>
    </row>
    <row r="254" spans="1:11">
      <c r="A254" s="144"/>
      <c r="B254" s="345"/>
      <c r="C254" s="346"/>
      <c r="D254" s="346"/>
      <c r="E254" s="346"/>
      <c r="F254" s="346"/>
      <c r="G254" s="346"/>
      <c r="H254" s="346"/>
      <c r="I254" s="347"/>
      <c r="J254" s="341">
        <f t="shared" ref="J254:J264" si="14">SUM(C255,F255,I255)</f>
        <v>0</v>
      </c>
      <c r="K254" s="144"/>
    </row>
    <row r="255" spans="1:11">
      <c r="A255" s="144"/>
      <c r="B255" s="348"/>
      <c r="C255" s="349"/>
      <c r="D255" s="349"/>
      <c r="E255" s="349"/>
      <c r="F255" s="349"/>
      <c r="G255" s="349"/>
      <c r="H255" s="349"/>
      <c r="I255" s="350"/>
      <c r="J255" s="341">
        <f t="shared" si="14"/>
        <v>0</v>
      </c>
      <c r="K255" s="144"/>
    </row>
    <row r="256" spans="1:11">
      <c r="A256" s="144"/>
      <c r="B256" s="348"/>
      <c r="C256" s="349"/>
      <c r="D256" s="349"/>
      <c r="E256" s="349"/>
      <c r="F256" s="349"/>
      <c r="G256" s="349"/>
      <c r="H256" s="349"/>
      <c r="I256" s="350"/>
      <c r="J256" s="341">
        <f t="shared" si="14"/>
        <v>0</v>
      </c>
      <c r="K256" s="144"/>
    </row>
    <row r="257" spans="1:11">
      <c r="A257" s="144"/>
      <c r="B257" s="348"/>
      <c r="C257" s="349"/>
      <c r="D257" s="349"/>
      <c r="E257" s="349"/>
      <c r="F257" s="349"/>
      <c r="G257" s="349"/>
      <c r="H257" s="349"/>
      <c r="I257" s="350"/>
      <c r="J257" s="341">
        <f t="shared" si="14"/>
        <v>0</v>
      </c>
      <c r="K257" s="144"/>
    </row>
    <row r="258" spans="1:11">
      <c r="A258" s="144"/>
      <c r="B258" s="348"/>
      <c r="C258" s="349"/>
      <c r="D258" s="349"/>
      <c r="E258" s="349"/>
      <c r="F258" s="349"/>
      <c r="G258" s="349"/>
      <c r="H258" s="349"/>
      <c r="I258" s="350"/>
      <c r="J258" s="341">
        <f t="shared" si="14"/>
        <v>0</v>
      </c>
      <c r="K258" s="144"/>
    </row>
    <row r="259" spans="1:11">
      <c r="A259" s="144"/>
      <c r="B259" s="348"/>
      <c r="C259" s="349"/>
      <c r="D259" s="349"/>
      <c r="E259" s="349"/>
      <c r="F259" s="349"/>
      <c r="G259" s="349"/>
      <c r="H259" s="349"/>
      <c r="I259" s="350"/>
      <c r="J259" s="341">
        <f t="shared" si="14"/>
        <v>0</v>
      </c>
      <c r="K259" s="144"/>
    </row>
    <row r="260" spans="1:11">
      <c r="A260" s="144"/>
      <c r="B260" s="348"/>
      <c r="C260" s="349"/>
      <c r="D260" s="349"/>
      <c r="E260" s="349"/>
      <c r="F260" s="349"/>
      <c r="G260" s="349"/>
      <c r="H260" s="349"/>
      <c r="I260" s="350"/>
      <c r="J260" s="341">
        <f t="shared" si="14"/>
        <v>0</v>
      </c>
      <c r="K260" s="144"/>
    </row>
    <row r="261" spans="1:11">
      <c r="A261" s="144"/>
      <c r="B261" s="333"/>
      <c r="C261" s="334"/>
      <c r="D261" s="334"/>
      <c r="E261" s="334"/>
      <c r="F261" s="334"/>
      <c r="G261" s="334"/>
      <c r="H261" s="334"/>
      <c r="I261" s="335"/>
      <c r="J261" s="341">
        <f t="shared" si="14"/>
        <v>0</v>
      </c>
      <c r="K261" s="144"/>
    </row>
    <row r="262" spans="1:11">
      <c r="A262" s="144"/>
      <c r="B262" s="333"/>
      <c r="C262" s="334"/>
      <c r="D262" s="334"/>
      <c r="E262" s="334"/>
      <c r="F262" s="334"/>
      <c r="G262" s="334"/>
      <c r="H262" s="334"/>
      <c r="I262" s="335"/>
      <c r="J262" s="341">
        <f t="shared" si="14"/>
        <v>0</v>
      </c>
      <c r="K262" s="144"/>
    </row>
    <row r="263" spans="1:11">
      <c r="A263" s="144"/>
      <c r="B263" s="333"/>
      <c r="C263" s="334"/>
      <c r="D263" s="334"/>
      <c r="E263" s="334"/>
      <c r="F263" s="334"/>
      <c r="G263" s="334"/>
      <c r="H263" s="334"/>
      <c r="I263" s="335"/>
      <c r="J263" s="341">
        <f t="shared" si="14"/>
        <v>0</v>
      </c>
      <c r="K263" s="144"/>
    </row>
    <row r="264" spans="1:11" ht="16" thickBot="1">
      <c r="A264" s="144"/>
      <c r="B264" s="333"/>
      <c r="C264" s="334"/>
      <c r="D264" s="334"/>
      <c r="E264" s="334"/>
      <c r="F264" s="334"/>
      <c r="G264" s="334"/>
      <c r="H264" s="334"/>
      <c r="I264" s="335"/>
      <c r="J264" s="342">
        <f t="shared" si="14"/>
        <v>0</v>
      </c>
      <c r="K264" s="144"/>
    </row>
    <row r="265" spans="1:11" ht="16" thickBot="1">
      <c r="A265" s="144"/>
      <c r="B265" s="336"/>
      <c r="C265" s="337"/>
      <c r="D265" s="337"/>
      <c r="E265" s="337"/>
      <c r="F265" s="337"/>
      <c r="G265" s="337"/>
      <c r="H265" s="337"/>
      <c r="I265" s="338"/>
      <c r="J265" s="343">
        <f>SUM(J253:J264)</f>
        <v>0</v>
      </c>
      <c r="K265" s="144"/>
    </row>
    <row r="266" spans="1:11">
      <c r="A266" s="144"/>
      <c r="B266" s="144"/>
      <c r="C266" s="144"/>
      <c r="D266" s="144"/>
      <c r="E266" s="144"/>
      <c r="F266" s="144"/>
      <c r="G266" s="144"/>
      <c r="H266" s="144"/>
      <c r="I266" s="144"/>
      <c r="J266" s="339"/>
      <c r="K266" s="144"/>
    </row>
    <row r="267" spans="1:11">
      <c r="A267" s="144"/>
      <c r="B267" s="425" t="s">
        <v>537</v>
      </c>
      <c r="C267" s="425"/>
      <c r="D267" s="425" t="s">
        <v>538</v>
      </c>
      <c r="E267" s="425"/>
      <c r="F267" s="425"/>
      <c r="G267" s="425"/>
      <c r="H267" s="144"/>
      <c r="I267" s="140" t="s">
        <v>539</v>
      </c>
      <c r="J267" s="339"/>
      <c r="K267" s="144"/>
    </row>
    <row r="268" spans="1:11">
      <c r="A268" s="144"/>
      <c r="B268" s="457" t="str">
        <f>IF(ISBLANK('Raw Material Usage'!$C27),"",_xlfn.XLOOKUP('Raw Material Usage'!$D27,Data!$BR$7:$BR$263,Data!$BS$7:$BS$263))</f>
        <v/>
      </c>
      <c r="C268" s="457"/>
      <c r="D268" s="457" t="str">
        <f>IF(ISBLANK('Raw Material Usage'!$C27),"",_xlfn.XLOOKUP('Raw Material Usage'!D27,Data!$BR$7:$BR$263,Data!$BU$7:$BU$263))</f>
        <v/>
      </c>
      <c r="E268" s="457"/>
      <c r="F268" s="457"/>
      <c r="G268" s="457"/>
      <c r="H268" s="144"/>
      <c r="I268" s="351" t="str">
        <f>IF(ISBLANK('Raw Material Usage'!$C27),"",'Raw Material Usage'!$E27/'Unit Conversions'!$D$12)</f>
        <v/>
      </c>
      <c r="J268" s="339"/>
      <c r="K268" s="144"/>
    </row>
    <row r="269" spans="1:11">
      <c r="A269" s="144"/>
      <c r="B269" s="454" t="s">
        <v>540</v>
      </c>
      <c r="C269" s="454" t="s">
        <v>541</v>
      </c>
      <c r="D269" s="454" t="s">
        <v>51</v>
      </c>
      <c r="E269" s="454" t="s">
        <v>51</v>
      </c>
      <c r="F269" s="454" t="s">
        <v>542</v>
      </c>
      <c r="G269" s="454" t="s">
        <v>51</v>
      </c>
      <c r="H269" s="458" t="s">
        <v>51</v>
      </c>
      <c r="I269" s="454" t="s">
        <v>543</v>
      </c>
      <c r="J269" s="339"/>
      <c r="K269" s="144"/>
    </row>
    <row r="270" spans="1:11" ht="18" thickBot="1">
      <c r="A270" s="144"/>
      <c r="B270" s="455" t="s">
        <v>51</v>
      </c>
      <c r="C270" s="332" t="s">
        <v>544</v>
      </c>
      <c r="D270" s="332" t="s">
        <v>545</v>
      </c>
      <c r="E270" s="332" t="s">
        <v>546</v>
      </c>
      <c r="F270" s="332" t="s">
        <v>544</v>
      </c>
      <c r="G270" s="332" t="s">
        <v>545</v>
      </c>
      <c r="H270" s="332" t="s">
        <v>546</v>
      </c>
      <c r="I270" s="455" t="s">
        <v>51</v>
      </c>
      <c r="J270" s="341">
        <f>SUM(C271,F271,I271)</f>
        <v>0</v>
      </c>
      <c r="K270" s="144"/>
    </row>
    <row r="271" spans="1:11">
      <c r="A271" s="144"/>
      <c r="B271" s="345"/>
      <c r="C271" s="346"/>
      <c r="D271" s="346"/>
      <c r="E271" s="346"/>
      <c r="F271" s="346"/>
      <c r="G271" s="346"/>
      <c r="H271" s="346"/>
      <c r="I271" s="347"/>
      <c r="J271" s="341">
        <f t="shared" ref="J271:J281" si="15">SUM(C272,F272,I272)</f>
        <v>0</v>
      </c>
      <c r="K271" s="144"/>
    </row>
    <row r="272" spans="1:11">
      <c r="A272" s="144"/>
      <c r="B272" s="348"/>
      <c r="C272" s="349"/>
      <c r="D272" s="349"/>
      <c r="E272" s="349"/>
      <c r="F272" s="349"/>
      <c r="G272" s="349"/>
      <c r="H272" s="349"/>
      <c r="I272" s="350"/>
      <c r="J272" s="341">
        <f t="shared" si="15"/>
        <v>0</v>
      </c>
      <c r="K272" s="144"/>
    </row>
    <row r="273" spans="1:11" ht="15" customHeight="1">
      <c r="A273" s="144"/>
      <c r="B273" s="348"/>
      <c r="C273" s="349"/>
      <c r="D273" s="349"/>
      <c r="E273" s="349"/>
      <c r="F273" s="349"/>
      <c r="G273" s="349"/>
      <c r="H273" s="349"/>
      <c r="I273" s="350"/>
      <c r="J273" s="341">
        <f t="shared" si="15"/>
        <v>0</v>
      </c>
      <c r="K273" s="144"/>
    </row>
    <row r="274" spans="1:11">
      <c r="A274" s="144"/>
      <c r="B274" s="348"/>
      <c r="C274" s="349"/>
      <c r="D274" s="349"/>
      <c r="E274" s="349"/>
      <c r="F274" s="349"/>
      <c r="G274" s="349"/>
      <c r="H274" s="349"/>
      <c r="I274" s="350"/>
      <c r="J274" s="341">
        <f t="shared" si="15"/>
        <v>0</v>
      </c>
      <c r="K274" s="144"/>
    </row>
    <row r="275" spans="1:11">
      <c r="A275" s="144"/>
      <c r="B275" s="348"/>
      <c r="C275" s="349"/>
      <c r="D275" s="349"/>
      <c r="E275" s="349"/>
      <c r="F275" s="349"/>
      <c r="G275" s="349"/>
      <c r="H275" s="349"/>
      <c r="I275" s="350"/>
      <c r="J275" s="341">
        <f t="shared" si="15"/>
        <v>0</v>
      </c>
      <c r="K275" s="144"/>
    </row>
    <row r="276" spans="1:11">
      <c r="A276" s="144"/>
      <c r="B276" s="348"/>
      <c r="C276" s="349"/>
      <c r="D276" s="349"/>
      <c r="E276" s="349"/>
      <c r="F276" s="349"/>
      <c r="G276" s="349"/>
      <c r="H276" s="349"/>
      <c r="I276" s="350"/>
      <c r="J276" s="341">
        <f t="shared" si="15"/>
        <v>0</v>
      </c>
      <c r="K276" s="144"/>
    </row>
    <row r="277" spans="1:11">
      <c r="A277" s="144"/>
      <c r="B277" s="348"/>
      <c r="C277" s="349"/>
      <c r="D277" s="349"/>
      <c r="E277" s="349"/>
      <c r="F277" s="349"/>
      <c r="G277" s="349"/>
      <c r="H277" s="349"/>
      <c r="I277" s="350"/>
      <c r="J277" s="341">
        <f t="shared" si="15"/>
        <v>0</v>
      </c>
      <c r="K277" s="144"/>
    </row>
    <row r="278" spans="1:11">
      <c r="A278" s="144"/>
      <c r="B278" s="333"/>
      <c r="C278" s="334"/>
      <c r="D278" s="334"/>
      <c r="E278" s="334"/>
      <c r="F278" s="334"/>
      <c r="G278" s="334"/>
      <c r="H278" s="334"/>
      <c r="I278" s="335"/>
      <c r="J278" s="341">
        <f t="shared" si="15"/>
        <v>0</v>
      </c>
      <c r="K278" s="144"/>
    </row>
    <row r="279" spans="1:11">
      <c r="A279" s="144"/>
      <c r="B279" s="333"/>
      <c r="C279" s="334"/>
      <c r="D279" s="334"/>
      <c r="E279" s="334"/>
      <c r="F279" s="334"/>
      <c r="G279" s="334"/>
      <c r="H279" s="334"/>
      <c r="I279" s="335"/>
      <c r="J279" s="341">
        <f t="shared" si="15"/>
        <v>0</v>
      </c>
      <c r="K279" s="144"/>
    </row>
    <row r="280" spans="1:11">
      <c r="A280" s="144"/>
      <c r="B280" s="333"/>
      <c r="C280" s="334"/>
      <c r="D280" s="334"/>
      <c r="E280" s="334"/>
      <c r="F280" s="334"/>
      <c r="G280" s="334"/>
      <c r="H280" s="334"/>
      <c r="I280" s="335"/>
      <c r="J280" s="341">
        <f t="shared" si="15"/>
        <v>0</v>
      </c>
      <c r="K280" s="144"/>
    </row>
    <row r="281" spans="1:11" ht="16" thickBot="1">
      <c r="A281" s="144"/>
      <c r="B281" s="333"/>
      <c r="C281" s="334"/>
      <c r="D281" s="334"/>
      <c r="E281" s="334"/>
      <c r="F281" s="334"/>
      <c r="G281" s="334"/>
      <c r="H281" s="334"/>
      <c r="I281" s="335"/>
      <c r="J281" s="342">
        <f t="shared" si="15"/>
        <v>0</v>
      </c>
      <c r="K281" s="144"/>
    </row>
    <row r="282" spans="1:11" ht="16" thickBot="1">
      <c r="A282" s="144"/>
      <c r="B282" s="336"/>
      <c r="C282" s="337"/>
      <c r="D282" s="337"/>
      <c r="E282" s="337"/>
      <c r="F282" s="337"/>
      <c r="G282" s="337"/>
      <c r="H282" s="337"/>
      <c r="I282" s="338"/>
      <c r="J282" s="343">
        <f>SUM(J270:J281)</f>
        <v>0</v>
      </c>
      <c r="K282" s="144"/>
    </row>
    <row r="283" spans="1:11">
      <c r="A283" s="144"/>
      <c r="B283" s="144"/>
      <c r="C283" s="144"/>
      <c r="D283" s="144"/>
      <c r="E283" s="144"/>
      <c r="F283" s="144"/>
      <c r="G283" s="144"/>
      <c r="H283" s="144"/>
      <c r="I283" s="144"/>
      <c r="J283" s="339"/>
      <c r="K283" s="144"/>
    </row>
    <row r="284" spans="1:11">
      <c r="A284" s="144"/>
      <c r="B284" s="425" t="s">
        <v>537</v>
      </c>
      <c r="C284" s="425"/>
      <c r="D284" s="425" t="s">
        <v>538</v>
      </c>
      <c r="E284" s="425"/>
      <c r="F284" s="425"/>
      <c r="G284" s="425"/>
      <c r="H284" s="144"/>
      <c r="I284" s="140" t="s">
        <v>539</v>
      </c>
      <c r="J284" s="339"/>
      <c r="K284" s="144"/>
    </row>
    <row r="285" spans="1:11">
      <c r="A285" s="144"/>
      <c r="B285" s="457" t="str">
        <f>IF(ISBLANK('Raw Material Usage'!$C28),"",_xlfn.XLOOKUP('Raw Material Usage'!$D28,Data!$BR$7:$BR$263,Data!$BS$7:$BS$263))</f>
        <v/>
      </c>
      <c r="C285" s="457"/>
      <c r="D285" s="457" t="str">
        <f>IF(ISBLANK('Raw Material Usage'!$C28),"",_xlfn.XLOOKUP('Raw Material Usage'!D28,Data!$BR$7:$BR$263,Data!$BU$7:$BU$263))</f>
        <v/>
      </c>
      <c r="E285" s="457"/>
      <c r="F285" s="457"/>
      <c r="G285" s="457"/>
      <c r="H285" s="144"/>
      <c r="I285" s="351" t="str">
        <f>IF(ISBLANK('Raw Material Usage'!$C28),"",'Raw Material Usage'!$E28/'Unit Conversions'!$D$12)</f>
        <v/>
      </c>
      <c r="J285" s="339"/>
      <c r="K285" s="144"/>
    </row>
    <row r="286" spans="1:11">
      <c r="A286" s="144"/>
      <c r="B286" s="454" t="s">
        <v>540</v>
      </c>
      <c r="C286" s="454" t="s">
        <v>541</v>
      </c>
      <c r="D286" s="454" t="s">
        <v>51</v>
      </c>
      <c r="E286" s="454" t="s">
        <v>51</v>
      </c>
      <c r="F286" s="454" t="s">
        <v>542</v>
      </c>
      <c r="G286" s="454" t="s">
        <v>51</v>
      </c>
      <c r="H286" s="458" t="s">
        <v>51</v>
      </c>
      <c r="I286" s="454" t="s">
        <v>543</v>
      </c>
      <c r="J286" s="339"/>
      <c r="K286" s="144"/>
    </row>
    <row r="287" spans="1:11" ht="18" thickBot="1">
      <c r="A287" s="144"/>
      <c r="B287" s="455" t="s">
        <v>51</v>
      </c>
      <c r="C287" s="332" t="s">
        <v>544</v>
      </c>
      <c r="D287" s="332" t="s">
        <v>545</v>
      </c>
      <c r="E287" s="332" t="s">
        <v>546</v>
      </c>
      <c r="F287" s="332" t="s">
        <v>544</v>
      </c>
      <c r="G287" s="332" t="s">
        <v>545</v>
      </c>
      <c r="H287" s="332" t="s">
        <v>546</v>
      </c>
      <c r="I287" s="455" t="s">
        <v>51</v>
      </c>
      <c r="J287" s="341">
        <f>SUM(C288,F288,I288)</f>
        <v>0</v>
      </c>
      <c r="K287" s="144"/>
    </row>
    <row r="288" spans="1:11">
      <c r="A288" s="144"/>
      <c r="B288" s="345"/>
      <c r="C288" s="346"/>
      <c r="D288" s="346"/>
      <c r="E288" s="346"/>
      <c r="F288" s="346"/>
      <c r="G288" s="346"/>
      <c r="H288" s="346"/>
      <c r="I288" s="347"/>
      <c r="J288" s="341">
        <f t="shared" ref="J288:J298" si="16">SUM(C289,F289,I289)</f>
        <v>0</v>
      </c>
      <c r="K288" s="144"/>
    </row>
    <row r="289" spans="1:11">
      <c r="A289" s="144"/>
      <c r="B289" s="348"/>
      <c r="C289" s="349"/>
      <c r="D289" s="349"/>
      <c r="E289" s="349"/>
      <c r="F289" s="349"/>
      <c r="G289" s="349"/>
      <c r="H289" s="349"/>
      <c r="I289" s="350"/>
      <c r="J289" s="341">
        <f t="shared" si="16"/>
        <v>0</v>
      </c>
      <c r="K289" s="144"/>
    </row>
    <row r="290" spans="1:11">
      <c r="A290" s="144"/>
      <c r="B290" s="348"/>
      <c r="C290" s="349"/>
      <c r="D290" s="349"/>
      <c r="E290" s="349"/>
      <c r="F290" s="349"/>
      <c r="G290" s="349"/>
      <c r="H290" s="349"/>
      <c r="I290" s="350"/>
      <c r="J290" s="341">
        <f t="shared" si="16"/>
        <v>0</v>
      </c>
      <c r="K290" s="144"/>
    </row>
    <row r="291" spans="1:11">
      <c r="A291" s="144"/>
      <c r="B291" s="348"/>
      <c r="C291" s="349"/>
      <c r="D291" s="349"/>
      <c r="E291" s="349"/>
      <c r="F291" s="349"/>
      <c r="G291" s="349"/>
      <c r="H291" s="349"/>
      <c r="I291" s="350"/>
      <c r="J291" s="341">
        <f t="shared" si="16"/>
        <v>0</v>
      </c>
      <c r="K291" s="144"/>
    </row>
    <row r="292" spans="1:11">
      <c r="A292" s="144"/>
      <c r="B292" s="348"/>
      <c r="C292" s="349"/>
      <c r="D292" s="349"/>
      <c r="E292" s="349"/>
      <c r="F292" s="349"/>
      <c r="G292" s="349"/>
      <c r="H292" s="349"/>
      <c r="I292" s="350"/>
      <c r="J292" s="341">
        <f t="shared" si="16"/>
        <v>0</v>
      </c>
      <c r="K292" s="144"/>
    </row>
    <row r="293" spans="1:11">
      <c r="A293" s="144"/>
      <c r="B293" s="348"/>
      <c r="C293" s="349"/>
      <c r="D293" s="349"/>
      <c r="E293" s="349"/>
      <c r="F293" s="349"/>
      <c r="G293" s="349"/>
      <c r="H293" s="349"/>
      <c r="I293" s="350"/>
      <c r="J293" s="341">
        <f t="shared" si="16"/>
        <v>0</v>
      </c>
      <c r="K293" s="144"/>
    </row>
    <row r="294" spans="1:11">
      <c r="A294" s="144"/>
      <c r="B294" s="348"/>
      <c r="C294" s="349"/>
      <c r="D294" s="349"/>
      <c r="E294" s="349"/>
      <c r="F294" s="349"/>
      <c r="G294" s="349"/>
      <c r="H294" s="349"/>
      <c r="I294" s="350"/>
      <c r="J294" s="341">
        <f t="shared" si="16"/>
        <v>0</v>
      </c>
      <c r="K294" s="144"/>
    </row>
    <row r="295" spans="1:11">
      <c r="A295" s="144"/>
      <c r="B295" s="333"/>
      <c r="C295" s="334"/>
      <c r="D295" s="334"/>
      <c r="E295" s="334"/>
      <c r="F295" s="334"/>
      <c r="G295" s="334"/>
      <c r="H295" s="334"/>
      <c r="I295" s="335"/>
      <c r="J295" s="341">
        <f t="shared" si="16"/>
        <v>0</v>
      </c>
      <c r="K295" s="144"/>
    </row>
    <row r="296" spans="1:11">
      <c r="A296" s="144"/>
      <c r="B296" s="333"/>
      <c r="C296" s="334"/>
      <c r="D296" s="334"/>
      <c r="E296" s="334"/>
      <c r="F296" s="334"/>
      <c r="G296" s="334"/>
      <c r="H296" s="334"/>
      <c r="I296" s="335"/>
      <c r="J296" s="341">
        <f t="shared" si="16"/>
        <v>0</v>
      </c>
      <c r="K296" s="144"/>
    </row>
    <row r="297" spans="1:11">
      <c r="A297" s="144"/>
      <c r="B297" s="333"/>
      <c r="C297" s="334"/>
      <c r="D297" s="334"/>
      <c r="E297" s="334"/>
      <c r="F297" s="334"/>
      <c r="G297" s="334"/>
      <c r="H297" s="334"/>
      <c r="I297" s="335"/>
      <c r="J297" s="341">
        <f t="shared" si="16"/>
        <v>0</v>
      </c>
      <c r="K297" s="144"/>
    </row>
    <row r="298" spans="1:11" ht="16" thickBot="1">
      <c r="A298" s="144"/>
      <c r="B298" s="333"/>
      <c r="C298" s="334"/>
      <c r="D298" s="334"/>
      <c r="E298" s="334"/>
      <c r="F298" s="334"/>
      <c r="G298" s="334"/>
      <c r="H298" s="334"/>
      <c r="I298" s="335"/>
      <c r="J298" s="342">
        <f t="shared" si="16"/>
        <v>0</v>
      </c>
      <c r="K298" s="144"/>
    </row>
    <row r="299" spans="1:11" ht="16" thickBot="1">
      <c r="A299" s="144"/>
      <c r="B299" s="336"/>
      <c r="C299" s="337"/>
      <c r="D299" s="337"/>
      <c r="E299" s="337"/>
      <c r="F299" s="337"/>
      <c r="G299" s="337"/>
      <c r="H299" s="337"/>
      <c r="I299" s="338"/>
      <c r="J299" s="343">
        <f>SUM(J287:J298)</f>
        <v>0</v>
      </c>
      <c r="K299" s="144"/>
    </row>
    <row r="300" spans="1:11">
      <c r="A300" s="144"/>
      <c r="B300" s="144"/>
      <c r="C300" s="144"/>
      <c r="D300" s="144"/>
      <c r="E300" s="144"/>
      <c r="F300" s="144"/>
      <c r="G300" s="144"/>
      <c r="H300" s="144"/>
      <c r="I300" s="144"/>
      <c r="J300" s="339"/>
      <c r="K300" s="144"/>
    </row>
    <row r="301" spans="1:11">
      <c r="A301" s="144"/>
      <c r="B301" s="425" t="s">
        <v>537</v>
      </c>
      <c r="C301" s="425"/>
      <c r="D301" s="425" t="s">
        <v>538</v>
      </c>
      <c r="E301" s="425"/>
      <c r="F301" s="425"/>
      <c r="G301" s="425"/>
      <c r="H301" s="144"/>
      <c r="I301" s="140" t="s">
        <v>539</v>
      </c>
      <c r="J301" s="339"/>
      <c r="K301" s="144"/>
    </row>
    <row r="302" spans="1:11">
      <c r="A302" s="144"/>
      <c r="B302" s="457" t="str">
        <f>IF(ISBLANK('Raw Material Usage'!$C29),"",_xlfn.XLOOKUP('Raw Material Usage'!$D29,Data!$BR$7:$BR$263,Data!$BS$7:$BS$263))</f>
        <v/>
      </c>
      <c r="C302" s="457"/>
      <c r="D302" s="457" t="str">
        <f>IF(ISBLANK('Raw Material Usage'!$C29),"",_xlfn.XLOOKUP('Raw Material Usage'!D29,Data!$BR$7:$BR$263,Data!$BU$7:$BU$263))</f>
        <v/>
      </c>
      <c r="E302" s="457"/>
      <c r="F302" s="457"/>
      <c r="G302" s="457"/>
      <c r="H302" s="144"/>
      <c r="I302" s="351" t="str">
        <f>IF(ISBLANK('Raw Material Usage'!$C29),"",'Raw Material Usage'!$E29/'Unit Conversions'!$D$12)</f>
        <v/>
      </c>
      <c r="J302" s="339"/>
      <c r="K302" s="144"/>
    </row>
    <row r="303" spans="1:11">
      <c r="A303" s="144"/>
      <c r="B303" s="454" t="s">
        <v>540</v>
      </c>
      <c r="C303" s="454" t="s">
        <v>541</v>
      </c>
      <c r="D303" s="454" t="s">
        <v>51</v>
      </c>
      <c r="E303" s="454" t="s">
        <v>51</v>
      </c>
      <c r="F303" s="454" t="s">
        <v>542</v>
      </c>
      <c r="G303" s="454" t="s">
        <v>51</v>
      </c>
      <c r="H303" s="458" t="s">
        <v>51</v>
      </c>
      <c r="I303" s="454" t="s">
        <v>543</v>
      </c>
      <c r="J303" s="339"/>
      <c r="K303" s="144"/>
    </row>
    <row r="304" spans="1:11" ht="18" thickBot="1">
      <c r="A304" s="144"/>
      <c r="B304" s="455" t="s">
        <v>51</v>
      </c>
      <c r="C304" s="332" t="s">
        <v>544</v>
      </c>
      <c r="D304" s="332" t="s">
        <v>545</v>
      </c>
      <c r="E304" s="332" t="s">
        <v>546</v>
      </c>
      <c r="F304" s="332" t="s">
        <v>544</v>
      </c>
      <c r="G304" s="332" t="s">
        <v>545</v>
      </c>
      <c r="H304" s="332" t="s">
        <v>546</v>
      </c>
      <c r="I304" s="455" t="s">
        <v>51</v>
      </c>
      <c r="J304" s="341">
        <f>SUM(C305,F305,I305)</f>
        <v>0</v>
      </c>
      <c r="K304" s="144"/>
    </row>
    <row r="305" spans="1:11">
      <c r="A305" s="144"/>
      <c r="B305" s="345"/>
      <c r="C305" s="346"/>
      <c r="D305" s="346"/>
      <c r="E305" s="346"/>
      <c r="F305" s="346"/>
      <c r="G305" s="346"/>
      <c r="H305" s="346"/>
      <c r="I305" s="347"/>
      <c r="J305" s="341">
        <f t="shared" ref="J305:J315" si="17">SUM(C306,F306,I306)</f>
        <v>0</v>
      </c>
      <c r="K305" s="144"/>
    </row>
    <row r="306" spans="1:11">
      <c r="A306" s="144"/>
      <c r="B306" s="348"/>
      <c r="C306" s="349"/>
      <c r="D306" s="349"/>
      <c r="E306" s="349"/>
      <c r="F306" s="349"/>
      <c r="G306" s="349"/>
      <c r="H306" s="349"/>
      <c r="I306" s="350"/>
      <c r="J306" s="341">
        <f t="shared" si="17"/>
        <v>0</v>
      </c>
      <c r="K306" s="144"/>
    </row>
    <row r="307" spans="1:11">
      <c r="A307" s="144"/>
      <c r="B307" s="348"/>
      <c r="C307" s="349"/>
      <c r="D307" s="349"/>
      <c r="E307" s="349"/>
      <c r="F307" s="349"/>
      <c r="G307" s="349"/>
      <c r="H307" s="349"/>
      <c r="I307" s="350"/>
      <c r="J307" s="341">
        <f t="shared" si="17"/>
        <v>0</v>
      </c>
      <c r="K307" s="144"/>
    </row>
    <row r="308" spans="1:11">
      <c r="A308" s="144"/>
      <c r="B308" s="348"/>
      <c r="C308" s="349"/>
      <c r="D308" s="349"/>
      <c r="E308" s="349"/>
      <c r="F308" s="349"/>
      <c r="G308" s="349"/>
      <c r="H308" s="349"/>
      <c r="I308" s="350"/>
      <c r="J308" s="341">
        <f t="shared" si="17"/>
        <v>0</v>
      </c>
      <c r="K308" s="144"/>
    </row>
    <row r="309" spans="1:11">
      <c r="A309" s="144"/>
      <c r="B309" s="348"/>
      <c r="C309" s="349"/>
      <c r="D309" s="349"/>
      <c r="E309" s="349"/>
      <c r="F309" s="349"/>
      <c r="G309" s="349"/>
      <c r="H309" s="349"/>
      <c r="I309" s="350"/>
      <c r="J309" s="341">
        <f t="shared" si="17"/>
        <v>0</v>
      </c>
      <c r="K309" s="144"/>
    </row>
    <row r="310" spans="1:11">
      <c r="A310" s="144"/>
      <c r="B310" s="348"/>
      <c r="C310" s="349"/>
      <c r="D310" s="349"/>
      <c r="E310" s="349"/>
      <c r="F310" s="349"/>
      <c r="G310" s="349"/>
      <c r="H310" s="349"/>
      <c r="I310" s="350"/>
      <c r="J310" s="341">
        <f t="shared" si="17"/>
        <v>0</v>
      </c>
      <c r="K310" s="144"/>
    </row>
    <row r="311" spans="1:11">
      <c r="A311" s="144"/>
      <c r="B311" s="348"/>
      <c r="C311" s="349"/>
      <c r="D311" s="349"/>
      <c r="E311" s="349"/>
      <c r="F311" s="349"/>
      <c r="G311" s="349"/>
      <c r="H311" s="349"/>
      <c r="I311" s="350"/>
      <c r="J311" s="341">
        <f t="shared" si="17"/>
        <v>0</v>
      </c>
      <c r="K311" s="144"/>
    </row>
    <row r="312" spans="1:11">
      <c r="A312" s="144"/>
      <c r="B312" s="333"/>
      <c r="C312" s="334"/>
      <c r="D312" s="334"/>
      <c r="E312" s="334"/>
      <c r="F312" s="334"/>
      <c r="G312" s="334"/>
      <c r="H312" s="334"/>
      <c r="I312" s="335"/>
      <c r="J312" s="341">
        <f t="shared" si="17"/>
        <v>0</v>
      </c>
      <c r="K312" s="144"/>
    </row>
    <row r="313" spans="1:11">
      <c r="A313" s="144"/>
      <c r="B313" s="333"/>
      <c r="C313" s="334"/>
      <c r="D313" s="334"/>
      <c r="E313" s="334"/>
      <c r="F313" s="334"/>
      <c r="G313" s="334"/>
      <c r="H313" s="334"/>
      <c r="I313" s="335"/>
      <c r="J313" s="341">
        <f t="shared" si="17"/>
        <v>0</v>
      </c>
      <c r="K313" s="144"/>
    </row>
    <row r="314" spans="1:11">
      <c r="A314" s="144"/>
      <c r="B314" s="333"/>
      <c r="C314" s="334"/>
      <c r="D314" s="334"/>
      <c r="E314" s="334"/>
      <c r="F314" s="334"/>
      <c r="G314" s="334"/>
      <c r="H314" s="334"/>
      <c r="I314" s="335"/>
      <c r="J314" s="341">
        <f t="shared" si="17"/>
        <v>0</v>
      </c>
      <c r="K314" s="144"/>
    </row>
    <row r="315" spans="1:11" ht="16" thickBot="1">
      <c r="A315" s="144"/>
      <c r="B315" s="333"/>
      <c r="C315" s="334"/>
      <c r="D315" s="334"/>
      <c r="E315" s="334"/>
      <c r="F315" s="334"/>
      <c r="G315" s="334"/>
      <c r="H315" s="334"/>
      <c r="I315" s="335"/>
      <c r="J315" s="342">
        <f t="shared" si="17"/>
        <v>0</v>
      </c>
      <c r="K315" s="144"/>
    </row>
    <row r="316" spans="1:11" ht="16" thickBot="1">
      <c r="A316" s="144"/>
      <c r="B316" s="336"/>
      <c r="C316" s="337"/>
      <c r="D316" s="337"/>
      <c r="E316" s="337"/>
      <c r="F316" s="337"/>
      <c r="G316" s="337"/>
      <c r="H316" s="337"/>
      <c r="I316" s="338"/>
      <c r="J316" s="343">
        <f>SUM(J304:J315)</f>
        <v>0</v>
      </c>
      <c r="K316" s="144"/>
    </row>
    <row r="317" spans="1:11">
      <c r="A317" s="144"/>
      <c r="B317" s="144"/>
      <c r="C317" s="144"/>
      <c r="D317" s="144"/>
      <c r="E317" s="144"/>
      <c r="F317" s="144"/>
      <c r="G317" s="144"/>
      <c r="H317" s="144"/>
      <c r="I317" s="144"/>
      <c r="J317" s="339"/>
      <c r="K317" s="144"/>
    </row>
    <row r="318" spans="1:11">
      <c r="A318" s="144"/>
      <c r="B318" s="425" t="s">
        <v>537</v>
      </c>
      <c r="C318" s="425"/>
      <c r="D318" s="425" t="s">
        <v>538</v>
      </c>
      <c r="E318" s="425"/>
      <c r="F318" s="425"/>
      <c r="G318" s="425"/>
      <c r="H318" s="144"/>
      <c r="I318" s="140" t="s">
        <v>539</v>
      </c>
      <c r="J318" s="339"/>
      <c r="K318" s="144"/>
    </row>
    <row r="319" spans="1:11">
      <c r="A319" s="144"/>
      <c r="B319" s="457" t="str">
        <f>IF(ISBLANK('Raw Material Usage'!$C30),"",_xlfn.XLOOKUP('Raw Material Usage'!$D30,Data!$BR$7:$BR$263,Data!$BS$7:$BS$263))</f>
        <v/>
      </c>
      <c r="C319" s="457"/>
      <c r="D319" s="457" t="str">
        <f>IF(ISBLANK('Raw Material Usage'!$C30),"",_xlfn.XLOOKUP('Raw Material Usage'!D30,Data!$BR$7:$BR$263,Data!$BU$7:$BU$263))</f>
        <v/>
      </c>
      <c r="E319" s="457"/>
      <c r="F319" s="457"/>
      <c r="G319" s="457"/>
      <c r="H319" s="144"/>
      <c r="I319" s="351" t="str">
        <f>IF(ISBLANK('Raw Material Usage'!$C30),"",'Raw Material Usage'!$E30/'Unit Conversions'!$D$12)</f>
        <v/>
      </c>
      <c r="J319" s="339"/>
      <c r="K319" s="144"/>
    </row>
    <row r="320" spans="1:11">
      <c r="A320" s="144"/>
      <c r="B320" s="454" t="s">
        <v>540</v>
      </c>
      <c r="C320" s="454" t="s">
        <v>541</v>
      </c>
      <c r="D320" s="454" t="s">
        <v>51</v>
      </c>
      <c r="E320" s="454" t="s">
        <v>51</v>
      </c>
      <c r="F320" s="454" t="s">
        <v>542</v>
      </c>
      <c r="G320" s="454" t="s">
        <v>51</v>
      </c>
      <c r="H320" s="458" t="s">
        <v>51</v>
      </c>
      <c r="I320" s="454" t="s">
        <v>543</v>
      </c>
      <c r="J320" s="339"/>
      <c r="K320" s="144"/>
    </row>
    <row r="321" spans="1:11" ht="18" thickBot="1">
      <c r="A321" s="144"/>
      <c r="B321" s="455" t="s">
        <v>51</v>
      </c>
      <c r="C321" s="332" t="s">
        <v>544</v>
      </c>
      <c r="D321" s="332" t="s">
        <v>545</v>
      </c>
      <c r="E321" s="332" t="s">
        <v>546</v>
      </c>
      <c r="F321" s="332" t="s">
        <v>544</v>
      </c>
      <c r="G321" s="332" t="s">
        <v>545</v>
      </c>
      <c r="H321" s="332" t="s">
        <v>546</v>
      </c>
      <c r="I321" s="455" t="s">
        <v>51</v>
      </c>
      <c r="J321" s="341">
        <f>SUM(C322,F322,I322)</f>
        <v>0</v>
      </c>
      <c r="K321" s="144"/>
    </row>
    <row r="322" spans="1:11">
      <c r="A322" s="144"/>
      <c r="B322" s="345"/>
      <c r="C322" s="346"/>
      <c r="D322" s="346"/>
      <c r="E322" s="346"/>
      <c r="F322" s="346"/>
      <c r="G322" s="346"/>
      <c r="H322" s="346"/>
      <c r="I322" s="347"/>
      <c r="J322" s="341">
        <f t="shared" ref="J322:J332" si="18">SUM(C323,F323,I323)</f>
        <v>0</v>
      </c>
      <c r="K322" s="144"/>
    </row>
    <row r="323" spans="1:11">
      <c r="A323" s="144"/>
      <c r="B323" s="348"/>
      <c r="C323" s="349"/>
      <c r="D323" s="349"/>
      <c r="E323" s="349"/>
      <c r="F323" s="349"/>
      <c r="G323" s="349"/>
      <c r="H323" s="349"/>
      <c r="I323" s="350"/>
      <c r="J323" s="341">
        <f t="shared" si="18"/>
        <v>0</v>
      </c>
      <c r="K323" s="144"/>
    </row>
    <row r="324" spans="1:11">
      <c r="A324" s="144"/>
      <c r="B324" s="348"/>
      <c r="C324" s="349"/>
      <c r="D324" s="349"/>
      <c r="E324" s="349"/>
      <c r="F324" s="349"/>
      <c r="G324" s="349"/>
      <c r="H324" s="349"/>
      <c r="I324" s="350"/>
      <c r="J324" s="341">
        <f t="shared" si="18"/>
        <v>0</v>
      </c>
      <c r="K324" s="144"/>
    </row>
    <row r="325" spans="1:11">
      <c r="A325" s="144"/>
      <c r="B325" s="348"/>
      <c r="C325" s="349"/>
      <c r="D325" s="349"/>
      <c r="E325" s="349"/>
      <c r="F325" s="349"/>
      <c r="G325" s="349"/>
      <c r="H325" s="349"/>
      <c r="I325" s="350"/>
      <c r="J325" s="341">
        <f t="shared" si="18"/>
        <v>0</v>
      </c>
      <c r="K325" s="144"/>
    </row>
    <row r="326" spans="1:11">
      <c r="A326" s="144"/>
      <c r="B326" s="348"/>
      <c r="C326" s="349"/>
      <c r="D326" s="349"/>
      <c r="E326" s="349"/>
      <c r="F326" s="349"/>
      <c r="G326" s="349"/>
      <c r="H326" s="349"/>
      <c r="I326" s="350"/>
      <c r="J326" s="341">
        <f t="shared" si="18"/>
        <v>0</v>
      </c>
      <c r="K326" s="144"/>
    </row>
    <row r="327" spans="1:11">
      <c r="A327" s="144"/>
      <c r="B327" s="348"/>
      <c r="C327" s="349"/>
      <c r="D327" s="349"/>
      <c r="E327" s="349"/>
      <c r="F327" s="349"/>
      <c r="G327" s="349"/>
      <c r="H327" s="349"/>
      <c r="I327" s="350"/>
      <c r="J327" s="341">
        <f t="shared" si="18"/>
        <v>0</v>
      </c>
      <c r="K327" s="144"/>
    </row>
    <row r="328" spans="1:11">
      <c r="A328" s="144"/>
      <c r="B328" s="348"/>
      <c r="C328" s="349"/>
      <c r="D328" s="349"/>
      <c r="E328" s="349"/>
      <c r="F328" s="349"/>
      <c r="G328" s="349"/>
      <c r="H328" s="349"/>
      <c r="I328" s="350"/>
      <c r="J328" s="341">
        <f t="shared" si="18"/>
        <v>0</v>
      </c>
      <c r="K328" s="144"/>
    </row>
    <row r="329" spans="1:11">
      <c r="A329" s="144"/>
      <c r="B329" s="333"/>
      <c r="C329" s="334"/>
      <c r="D329" s="334"/>
      <c r="E329" s="334"/>
      <c r="F329" s="334"/>
      <c r="G329" s="334"/>
      <c r="H329" s="334"/>
      <c r="I329" s="335"/>
      <c r="J329" s="341">
        <f t="shared" si="18"/>
        <v>0</v>
      </c>
      <c r="K329" s="144"/>
    </row>
    <row r="330" spans="1:11">
      <c r="A330" s="144"/>
      <c r="B330" s="333"/>
      <c r="C330" s="334"/>
      <c r="D330" s="334"/>
      <c r="E330" s="334"/>
      <c r="F330" s="334"/>
      <c r="G330" s="334"/>
      <c r="H330" s="334"/>
      <c r="I330" s="335"/>
      <c r="J330" s="341">
        <f t="shared" si="18"/>
        <v>0</v>
      </c>
      <c r="K330" s="144"/>
    </row>
    <row r="331" spans="1:11">
      <c r="A331" s="144"/>
      <c r="B331" s="333"/>
      <c r="C331" s="334"/>
      <c r="D331" s="334"/>
      <c r="E331" s="334"/>
      <c r="F331" s="334"/>
      <c r="G331" s="334"/>
      <c r="H331" s="334"/>
      <c r="I331" s="335"/>
      <c r="J331" s="341">
        <f t="shared" si="18"/>
        <v>0</v>
      </c>
      <c r="K331" s="144"/>
    </row>
    <row r="332" spans="1:11" ht="16" thickBot="1">
      <c r="A332" s="144"/>
      <c r="B332" s="333"/>
      <c r="C332" s="334"/>
      <c r="D332" s="334"/>
      <c r="E332" s="334"/>
      <c r="F332" s="334"/>
      <c r="G332" s="334"/>
      <c r="H332" s="334"/>
      <c r="I332" s="335"/>
      <c r="J332" s="342">
        <f t="shared" si="18"/>
        <v>0</v>
      </c>
      <c r="K332" s="144"/>
    </row>
    <row r="333" spans="1:11" ht="16" thickBot="1">
      <c r="A333" s="144"/>
      <c r="B333" s="336"/>
      <c r="C333" s="337"/>
      <c r="D333" s="337"/>
      <c r="E333" s="337"/>
      <c r="F333" s="337"/>
      <c r="G333" s="337"/>
      <c r="H333" s="337"/>
      <c r="I333" s="338"/>
      <c r="J333" s="343">
        <f>SUM(J321:J332)</f>
        <v>0</v>
      </c>
      <c r="K333" s="144"/>
    </row>
    <row r="334" spans="1:11">
      <c r="A334" s="144"/>
      <c r="B334" s="144"/>
      <c r="C334" s="144"/>
      <c r="D334" s="144"/>
      <c r="E334" s="144"/>
      <c r="F334" s="144"/>
      <c r="G334" s="144"/>
      <c r="H334" s="144"/>
      <c r="I334" s="144"/>
      <c r="J334" s="339"/>
      <c r="K334" s="144"/>
    </row>
    <row r="335" spans="1:11">
      <c r="A335" s="144"/>
      <c r="B335" s="425" t="s">
        <v>537</v>
      </c>
      <c r="C335" s="425"/>
      <c r="D335" s="425" t="s">
        <v>538</v>
      </c>
      <c r="E335" s="425"/>
      <c r="F335" s="425"/>
      <c r="G335" s="425"/>
      <c r="H335" s="144"/>
      <c r="I335" s="140" t="s">
        <v>539</v>
      </c>
      <c r="J335" s="339"/>
      <c r="K335" s="144"/>
    </row>
    <row r="336" spans="1:11">
      <c r="A336" s="144"/>
      <c r="B336" s="457" t="str">
        <f>IF(ISBLANK('Raw Material Usage'!$C31),"",_xlfn.XLOOKUP('Raw Material Usage'!$D31,Data!$BR$7:$BR$263,Data!$BS$7:$BS$263))</f>
        <v/>
      </c>
      <c r="C336" s="457"/>
      <c r="D336" s="457" t="str">
        <f>IF(ISBLANK('Raw Material Usage'!$C31),"",_xlfn.XLOOKUP('Raw Material Usage'!D31,Data!$BR$7:$BR$263,Data!$BU$7:$BU$263))</f>
        <v/>
      </c>
      <c r="E336" s="457"/>
      <c r="F336" s="457"/>
      <c r="G336" s="457"/>
      <c r="H336" s="144"/>
      <c r="I336" s="351" t="str">
        <f>IF(ISBLANK('Raw Material Usage'!$C31),"",'Raw Material Usage'!$E31/'Unit Conversions'!$D$12)</f>
        <v/>
      </c>
      <c r="J336" s="339"/>
      <c r="K336" s="144"/>
    </row>
    <row r="337" spans="1:11">
      <c r="A337" s="144"/>
      <c r="B337" s="454" t="s">
        <v>540</v>
      </c>
      <c r="C337" s="454" t="s">
        <v>541</v>
      </c>
      <c r="D337" s="454" t="s">
        <v>51</v>
      </c>
      <c r="E337" s="454" t="s">
        <v>51</v>
      </c>
      <c r="F337" s="454" t="s">
        <v>542</v>
      </c>
      <c r="G337" s="454" t="s">
        <v>51</v>
      </c>
      <c r="H337" s="458" t="s">
        <v>51</v>
      </c>
      <c r="I337" s="454" t="s">
        <v>543</v>
      </c>
      <c r="J337" s="339"/>
      <c r="K337" s="144"/>
    </row>
    <row r="338" spans="1:11" ht="18" thickBot="1">
      <c r="A338" s="144"/>
      <c r="B338" s="455" t="s">
        <v>51</v>
      </c>
      <c r="C338" s="332" t="s">
        <v>544</v>
      </c>
      <c r="D338" s="332" t="s">
        <v>545</v>
      </c>
      <c r="E338" s="332" t="s">
        <v>546</v>
      </c>
      <c r="F338" s="332" t="s">
        <v>544</v>
      </c>
      <c r="G338" s="332" t="s">
        <v>545</v>
      </c>
      <c r="H338" s="332" t="s">
        <v>546</v>
      </c>
      <c r="I338" s="455" t="s">
        <v>51</v>
      </c>
      <c r="J338" s="341">
        <f>SUM(C339,F339,I339)</f>
        <v>0</v>
      </c>
      <c r="K338" s="144"/>
    </row>
    <row r="339" spans="1:11">
      <c r="A339" s="144"/>
      <c r="B339" s="345"/>
      <c r="C339" s="346"/>
      <c r="D339" s="346"/>
      <c r="E339" s="346"/>
      <c r="F339" s="346"/>
      <c r="G339" s="346"/>
      <c r="H339" s="346"/>
      <c r="I339" s="347"/>
      <c r="J339" s="341">
        <f t="shared" ref="J339:J349" si="19">SUM(C340,F340,I340)</f>
        <v>0</v>
      </c>
      <c r="K339" s="144"/>
    </row>
    <row r="340" spans="1:11">
      <c r="A340" s="144"/>
      <c r="B340" s="348"/>
      <c r="C340" s="349"/>
      <c r="D340" s="349"/>
      <c r="E340" s="349"/>
      <c r="F340" s="349"/>
      <c r="G340" s="349"/>
      <c r="H340" s="349"/>
      <c r="I340" s="350"/>
      <c r="J340" s="341">
        <f t="shared" si="19"/>
        <v>0</v>
      </c>
      <c r="K340" s="144"/>
    </row>
    <row r="341" spans="1:11">
      <c r="A341" s="144"/>
      <c r="B341" s="348"/>
      <c r="C341" s="349"/>
      <c r="D341" s="349"/>
      <c r="E341" s="349"/>
      <c r="F341" s="349"/>
      <c r="G341" s="349"/>
      <c r="H341" s="349"/>
      <c r="I341" s="350"/>
      <c r="J341" s="341">
        <f t="shared" si="19"/>
        <v>0</v>
      </c>
      <c r="K341" s="144"/>
    </row>
    <row r="342" spans="1:11">
      <c r="A342" s="144"/>
      <c r="B342" s="348"/>
      <c r="C342" s="349"/>
      <c r="D342" s="349"/>
      <c r="E342" s="349"/>
      <c r="F342" s="349"/>
      <c r="G342" s="349"/>
      <c r="H342" s="349"/>
      <c r="I342" s="350"/>
      <c r="J342" s="341">
        <f t="shared" si="19"/>
        <v>0</v>
      </c>
      <c r="K342" s="144"/>
    </row>
    <row r="343" spans="1:11">
      <c r="A343" s="144"/>
      <c r="B343" s="348"/>
      <c r="C343" s="349"/>
      <c r="D343" s="349"/>
      <c r="E343" s="349"/>
      <c r="F343" s="349"/>
      <c r="G343" s="349"/>
      <c r="H343" s="349"/>
      <c r="I343" s="350"/>
      <c r="J343" s="341">
        <f t="shared" si="19"/>
        <v>0</v>
      </c>
      <c r="K343" s="144"/>
    </row>
    <row r="344" spans="1:11">
      <c r="A344" s="144"/>
      <c r="B344" s="348"/>
      <c r="C344" s="349"/>
      <c r="D344" s="349"/>
      <c r="E344" s="349"/>
      <c r="F344" s="349"/>
      <c r="G344" s="349"/>
      <c r="H344" s="349"/>
      <c r="I344" s="350"/>
      <c r="J344" s="341">
        <f t="shared" si="19"/>
        <v>0</v>
      </c>
      <c r="K344" s="144"/>
    </row>
    <row r="345" spans="1:11">
      <c r="A345" s="144"/>
      <c r="B345" s="348"/>
      <c r="C345" s="349"/>
      <c r="D345" s="349"/>
      <c r="E345" s="349"/>
      <c r="F345" s="349"/>
      <c r="G345" s="349"/>
      <c r="H345" s="349"/>
      <c r="I345" s="350"/>
      <c r="J345" s="341">
        <f t="shared" si="19"/>
        <v>0</v>
      </c>
      <c r="K345" s="144"/>
    </row>
    <row r="346" spans="1:11">
      <c r="A346" s="144"/>
      <c r="B346" s="333"/>
      <c r="C346" s="334"/>
      <c r="D346" s="334"/>
      <c r="E346" s="334"/>
      <c r="F346" s="334"/>
      <c r="G346" s="334"/>
      <c r="H346" s="334"/>
      <c r="I346" s="335"/>
      <c r="J346" s="341">
        <f t="shared" si="19"/>
        <v>0</v>
      </c>
      <c r="K346" s="144"/>
    </row>
    <row r="347" spans="1:11">
      <c r="A347" s="144"/>
      <c r="B347" s="333"/>
      <c r="C347" s="334"/>
      <c r="D347" s="334"/>
      <c r="E347" s="334"/>
      <c r="F347" s="334"/>
      <c r="G347" s="334"/>
      <c r="H347" s="334"/>
      <c r="I347" s="335"/>
      <c r="J347" s="341">
        <f t="shared" si="19"/>
        <v>0</v>
      </c>
      <c r="K347" s="144"/>
    </row>
    <row r="348" spans="1:11">
      <c r="A348" s="144"/>
      <c r="B348" s="333"/>
      <c r="C348" s="334"/>
      <c r="D348" s="334"/>
      <c r="E348" s="334"/>
      <c r="F348" s="334"/>
      <c r="G348" s="334"/>
      <c r="H348" s="334"/>
      <c r="I348" s="335"/>
      <c r="J348" s="341">
        <f t="shared" si="19"/>
        <v>0</v>
      </c>
      <c r="K348" s="144"/>
    </row>
    <row r="349" spans="1:11" ht="16" thickBot="1">
      <c r="A349" s="144"/>
      <c r="B349" s="333"/>
      <c r="C349" s="334"/>
      <c r="D349" s="334"/>
      <c r="E349" s="334"/>
      <c r="F349" s="334"/>
      <c r="G349" s="334"/>
      <c r="H349" s="334"/>
      <c r="I349" s="335"/>
      <c r="J349" s="342">
        <f t="shared" si="19"/>
        <v>0</v>
      </c>
      <c r="K349" s="144"/>
    </row>
    <row r="350" spans="1:11" ht="16" thickBot="1">
      <c r="A350" s="144"/>
      <c r="B350" s="336"/>
      <c r="C350" s="337"/>
      <c r="D350" s="337"/>
      <c r="E350" s="337"/>
      <c r="F350" s="337"/>
      <c r="G350" s="337"/>
      <c r="H350" s="337"/>
      <c r="I350" s="338"/>
      <c r="J350" s="343">
        <f>SUM(J338:J349)</f>
        <v>0</v>
      </c>
      <c r="K350" s="144"/>
    </row>
    <row r="351" spans="1:11">
      <c r="A351" s="144"/>
      <c r="B351" s="144"/>
      <c r="C351" s="144"/>
      <c r="D351" s="144"/>
      <c r="E351" s="144"/>
      <c r="F351" s="144"/>
      <c r="G351" s="144"/>
      <c r="H351" s="144"/>
      <c r="I351" s="144"/>
      <c r="J351" s="339"/>
      <c r="K351" s="144"/>
    </row>
    <row r="352" spans="1:11">
      <c r="A352" s="144"/>
      <c r="B352" s="425" t="s">
        <v>537</v>
      </c>
      <c r="C352" s="425"/>
      <c r="D352" s="425" t="s">
        <v>538</v>
      </c>
      <c r="E352" s="425"/>
      <c r="F352" s="425"/>
      <c r="G352" s="425"/>
      <c r="H352" s="144"/>
      <c r="I352" s="140" t="s">
        <v>539</v>
      </c>
      <c r="J352" s="339"/>
      <c r="K352" s="144"/>
    </row>
    <row r="353" spans="1:11">
      <c r="A353" s="144"/>
      <c r="B353" s="457" t="str">
        <f>IF(ISBLANK('Raw Material Usage'!$C32),"",_xlfn.XLOOKUP('Raw Material Usage'!$D32,Data!$BR$7:$BR$263,Data!$BS$7:$BS$263))</f>
        <v/>
      </c>
      <c r="C353" s="457"/>
      <c r="D353" s="457" t="str">
        <f>IF(ISBLANK('Raw Material Usage'!$C32),"",_xlfn.XLOOKUP('Raw Material Usage'!D32,Data!$BR$7:$BR$263,Data!$BU$7:$BU$263))</f>
        <v/>
      </c>
      <c r="E353" s="457"/>
      <c r="F353" s="457"/>
      <c r="G353" s="457"/>
      <c r="H353" s="144"/>
      <c r="I353" s="351" t="str">
        <f>IF(ISBLANK('Raw Material Usage'!$C32),"",'Raw Material Usage'!$E32/'Unit Conversions'!$D$12)</f>
        <v/>
      </c>
      <c r="J353" s="339"/>
      <c r="K353" s="144"/>
    </row>
    <row r="354" spans="1:11">
      <c r="A354" s="144"/>
      <c r="B354" s="454" t="s">
        <v>540</v>
      </c>
      <c r="C354" s="454" t="s">
        <v>541</v>
      </c>
      <c r="D354" s="454" t="s">
        <v>51</v>
      </c>
      <c r="E354" s="454" t="s">
        <v>51</v>
      </c>
      <c r="F354" s="454" t="s">
        <v>542</v>
      </c>
      <c r="G354" s="454" t="s">
        <v>51</v>
      </c>
      <c r="H354" s="458" t="s">
        <v>51</v>
      </c>
      <c r="I354" s="454" t="s">
        <v>543</v>
      </c>
      <c r="J354" s="339"/>
      <c r="K354" s="144"/>
    </row>
    <row r="355" spans="1:11" ht="18" thickBot="1">
      <c r="A355" s="144"/>
      <c r="B355" s="455" t="s">
        <v>51</v>
      </c>
      <c r="C355" s="332" t="s">
        <v>544</v>
      </c>
      <c r="D355" s="332" t="s">
        <v>545</v>
      </c>
      <c r="E355" s="332" t="s">
        <v>546</v>
      </c>
      <c r="F355" s="332" t="s">
        <v>544</v>
      </c>
      <c r="G355" s="332" t="s">
        <v>545</v>
      </c>
      <c r="H355" s="332" t="s">
        <v>546</v>
      </c>
      <c r="I355" s="455" t="s">
        <v>51</v>
      </c>
      <c r="J355" s="341">
        <f>SUM(C356,F356,I356)</f>
        <v>0</v>
      </c>
      <c r="K355" s="144"/>
    </row>
    <row r="356" spans="1:11">
      <c r="A356" s="144"/>
      <c r="B356" s="345"/>
      <c r="C356" s="346"/>
      <c r="D356" s="346"/>
      <c r="E356" s="346"/>
      <c r="F356" s="346"/>
      <c r="G356" s="346"/>
      <c r="H356" s="346"/>
      <c r="I356" s="347"/>
      <c r="J356" s="341">
        <f t="shared" ref="J356:J366" si="20">SUM(C357,F357,I357)</f>
        <v>0</v>
      </c>
      <c r="K356" s="144"/>
    </row>
    <row r="357" spans="1:11">
      <c r="A357" s="144"/>
      <c r="B357" s="348"/>
      <c r="C357" s="349"/>
      <c r="D357" s="349"/>
      <c r="E357" s="349"/>
      <c r="F357" s="349"/>
      <c r="G357" s="349"/>
      <c r="H357" s="349"/>
      <c r="I357" s="350"/>
      <c r="J357" s="341">
        <f t="shared" si="20"/>
        <v>0</v>
      </c>
      <c r="K357" s="144"/>
    </row>
    <row r="358" spans="1:11">
      <c r="A358" s="144"/>
      <c r="B358" s="348"/>
      <c r="C358" s="349"/>
      <c r="D358" s="349"/>
      <c r="E358" s="349"/>
      <c r="F358" s="349"/>
      <c r="G358" s="349"/>
      <c r="H358" s="349"/>
      <c r="I358" s="350"/>
      <c r="J358" s="341">
        <f t="shared" si="20"/>
        <v>0</v>
      </c>
      <c r="K358" s="144"/>
    </row>
    <row r="359" spans="1:11">
      <c r="A359" s="144"/>
      <c r="B359" s="348"/>
      <c r="C359" s="349"/>
      <c r="D359" s="349"/>
      <c r="E359" s="349"/>
      <c r="F359" s="349"/>
      <c r="G359" s="349"/>
      <c r="H359" s="349"/>
      <c r="I359" s="350"/>
      <c r="J359" s="341">
        <f t="shared" si="20"/>
        <v>0</v>
      </c>
      <c r="K359" s="144"/>
    </row>
    <row r="360" spans="1:11">
      <c r="A360" s="144"/>
      <c r="B360" s="348"/>
      <c r="C360" s="349"/>
      <c r="D360" s="349"/>
      <c r="E360" s="349"/>
      <c r="F360" s="349"/>
      <c r="G360" s="349"/>
      <c r="H360" s="349"/>
      <c r="I360" s="350"/>
      <c r="J360" s="341">
        <f t="shared" si="20"/>
        <v>0</v>
      </c>
      <c r="K360" s="144"/>
    </row>
    <row r="361" spans="1:11">
      <c r="A361" s="144"/>
      <c r="B361" s="348"/>
      <c r="C361" s="349"/>
      <c r="D361" s="349"/>
      <c r="E361" s="349"/>
      <c r="F361" s="349"/>
      <c r="G361" s="349"/>
      <c r="H361" s="349"/>
      <c r="I361" s="350"/>
      <c r="J361" s="341">
        <f t="shared" si="20"/>
        <v>0</v>
      </c>
      <c r="K361" s="144"/>
    </row>
    <row r="362" spans="1:11">
      <c r="A362" s="144"/>
      <c r="B362" s="348"/>
      <c r="C362" s="349"/>
      <c r="D362" s="349"/>
      <c r="E362" s="349"/>
      <c r="F362" s="349"/>
      <c r="G362" s="349"/>
      <c r="H362" s="349"/>
      <c r="I362" s="350"/>
      <c r="J362" s="341">
        <f t="shared" si="20"/>
        <v>0</v>
      </c>
      <c r="K362" s="144"/>
    </row>
    <row r="363" spans="1:11">
      <c r="A363" s="144"/>
      <c r="B363" s="333"/>
      <c r="C363" s="334"/>
      <c r="D363" s="334"/>
      <c r="E363" s="334"/>
      <c r="F363" s="334"/>
      <c r="G363" s="334"/>
      <c r="H363" s="334"/>
      <c r="I363" s="335"/>
      <c r="J363" s="341">
        <f t="shared" si="20"/>
        <v>0</v>
      </c>
      <c r="K363" s="144"/>
    </row>
    <row r="364" spans="1:11">
      <c r="A364" s="144"/>
      <c r="B364" s="333"/>
      <c r="C364" s="334"/>
      <c r="D364" s="334"/>
      <c r="E364" s="334"/>
      <c r="F364" s="334"/>
      <c r="G364" s="334"/>
      <c r="H364" s="334"/>
      <c r="I364" s="335"/>
      <c r="J364" s="341">
        <f t="shared" si="20"/>
        <v>0</v>
      </c>
      <c r="K364" s="144"/>
    </row>
    <row r="365" spans="1:11">
      <c r="A365" s="144"/>
      <c r="B365" s="333"/>
      <c r="C365" s="334"/>
      <c r="D365" s="334"/>
      <c r="E365" s="334"/>
      <c r="F365" s="334"/>
      <c r="G365" s="334"/>
      <c r="H365" s="334"/>
      <c r="I365" s="335"/>
      <c r="J365" s="341">
        <f t="shared" si="20"/>
        <v>0</v>
      </c>
      <c r="K365" s="144"/>
    </row>
    <row r="366" spans="1:11" ht="16" thickBot="1">
      <c r="A366" s="144"/>
      <c r="B366" s="333"/>
      <c r="C366" s="334"/>
      <c r="D366" s="334"/>
      <c r="E366" s="334"/>
      <c r="F366" s="334"/>
      <c r="G366" s="334"/>
      <c r="H366" s="334"/>
      <c r="I366" s="335"/>
      <c r="J366" s="342">
        <f t="shared" si="20"/>
        <v>0</v>
      </c>
      <c r="K366" s="144"/>
    </row>
    <row r="367" spans="1:11" ht="16" thickBot="1">
      <c r="A367" s="144"/>
      <c r="B367" s="336"/>
      <c r="C367" s="337"/>
      <c r="D367" s="337"/>
      <c r="E367" s="337"/>
      <c r="F367" s="337"/>
      <c r="G367" s="337"/>
      <c r="H367" s="337"/>
      <c r="I367" s="338"/>
      <c r="J367" s="343">
        <f>SUM(J355:J366)</f>
        <v>0</v>
      </c>
      <c r="K367" s="144"/>
    </row>
    <row r="368" spans="1:11">
      <c r="A368" s="144"/>
      <c r="B368" s="144"/>
      <c r="C368" s="144"/>
      <c r="D368" s="144"/>
      <c r="E368" s="144"/>
      <c r="F368" s="144"/>
      <c r="G368" s="144"/>
      <c r="H368" s="144"/>
      <c r="I368" s="144"/>
      <c r="J368" s="339"/>
      <c r="K368" s="144"/>
    </row>
    <row r="369" spans="1:11">
      <c r="A369" s="144"/>
      <c r="B369" s="425" t="s">
        <v>537</v>
      </c>
      <c r="C369" s="425"/>
      <c r="D369" s="425" t="s">
        <v>538</v>
      </c>
      <c r="E369" s="425"/>
      <c r="F369" s="425"/>
      <c r="G369" s="425"/>
      <c r="H369" s="144"/>
      <c r="I369" s="140" t="s">
        <v>539</v>
      </c>
      <c r="J369" s="339"/>
      <c r="K369" s="144"/>
    </row>
    <row r="370" spans="1:11">
      <c r="A370" s="144"/>
      <c r="B370" s="457" t="str">
        <f>IF(ISBLANK('Raw Material Usage'!$C33),"",_xlfn.XLOOKUP('Raw Material Usage'!$D33,Data!$BR$7:$BR$263,Data!$BS$7:$BS$263))</f>
        <v/>
      </c>
      <c r="C370" s="457"/>
      <c r="D370" s="457" t="str">
        <f>IF(ISBLANK('Raw Material Usage'!$C33),"",_xlfn.XLOOKUP('Raw Material Usage'!D33,Data!$BR$7:$BR$263,Data!$BU$7:$BU$263))</f>
        <v/>
      </c>
      <c r="E370" s="457"/>
      <c r="F370" s="457"/>
      <c r="G370" s="457"/>
      <c r="H370" s="144"/>
      <c r="I370" s="351" t="str">
        <f>IF(ISBLANK('Raw Material Usage'!$C33),"",'Raw Material Usage'!$E33/'Unit Conversions'!$D$12)</f>
        <v/>
      </c>
      <c r="J370" s="339"/>
      <c r="K370" s="144"/>
    </row>
    <row r="371" spans="1:11">
      <c r="A371" s="144"/>
      <c r="B371" s="454" t="s">
        <v>540</v>
      </c>
      <c r="C371" s="454" t="s">
        <v>541</v>
      </c>
      <c r="D371" s="454" t="s">
        <v>51</v>
      </c>
      <c r="E371" s="454" t="s">
        <v>51</v>
      </c>
      <c r="F371" s="454" t="s">
        <v>542</v>
      </c>
      <c r="G371" s="454" t="s">
        <v>51</v>
      </c>
      <c r="H371" s="458" t="s">
        <v>51</v>
      </c>
      <c r="I371" s="454" t="s">
        <v>543</v>
      </c>
      <c r="J371" s="339"/>
      <c r="K371" s="144"/>
    </row>
    <row r="372" spans="1:11" ht="18" thickBot="1">
      <c r="A372" s="144"/>
      <c r="B372" s="455" t="s">
        <v>51</v>
      </c>
      <c r="C372" s="332" t="s">
        <v>544</v>
      </c>
      <c r="D372" s="332" t="s">
        <v>545</v>
      </c>
      <c r="E372" s="332" t="s">
        <v>546</v>
      </c>
      <c r="F372" s="332" t="s">
        <v>544</v>
      </c>
      <c r="G372" s="332" t="s">
        <v>545</v>
      </c>
      <c r="H372" s="332" t="s">
        <v>546</v>
      </c>
      <c r="I372" s="455" t="s">
        <v>51</v>
      </c>
      <c r="J372" s="341">
        <f>SUM(C373,F373,I373)</f>
        <v>0</v>
      </c>
      <c r="K372" s="144"/>
    </row>
    <row r="373" spans="1:11">
      <c r="A373" s="144"/>
      <c r="B373" s="345"/>
      <c r="C373" s="346"/>
      <c r="D373" s="346"/>
      <c r="E373" s="346"/>
      <c r="F373" s="346"/>
      <c r="G373" s="346"/>
      <c r="H373" s="346"/>
      <c r="I373" s="347"/>
      <c r="J373" s="341">
        <f t="shared" ref="J373:J383" si="21">SUM(C374,F374,I374)</f>
        <v>0</v>
      </c>
      <c r="K373" s="144"/>
    </row>
    <row r="374" spans="1:11">
      <c r="A374" s="144"/>
      <c r="B374" s="348"/>
      <c r="C374" s="349"/>
      <c r="D374" s="349"/>
      <c r="E374" s="349"/>
      <c r="F374" s="349"/>
      <c r="G374" s="349"/>
      <c r="H374" s="349"/>
      <c r="I374" s="350"/>
      <c r="J374" s="341">
        <f t="shared" si="21"/>
        <v>0</v>
      </c>
      <c r="K374" s="144"/>
    </row>
    <row r="375" spans="1:11">
      <c r="A375" s="144"/>
      <c r="B375" s="348"/>
      <c r="C375" s="349"/>
      <c r="D375" s="349"/>
      <c r="E375" s="349"/>
      <c r="F375" s="349"/>
      <c r="G375" s="349"/>
      <c r="H375" s="349"/>
      <c r="I375" s="350"/>
      <c r="J375" s="341">
        <f t="shared" si="21"/>
        <v>0</v>
      </c>
      <c r="K375" s="144"/>
    </row>
    <row r="376" spans="1:11">
      <c r="A376" s="144"/>
      <c r="B376" s="348"/>
      <c r="C376" s="349"/>
      <c r="D376" s="349"/>
      <c r="E376" s="349"/>
      <c r="F376" s="349"/>
      <c r="G376" s="349"/>
      <c r="H376" s="349"/>
      <c r="I376" s="350"/>
      <c r="J376" s="341">
        <f t="shared" si="21"/>
        <v>0</v>
      </c>
      <c r="K376" s="144"/>
    </row>
    <row r="377" spans="1:11">
      <c r="A377" s="144"/>
      <c r="B377" s="348"/>
      <c r="C377" s="349"/>
      <c r="D377" s="349"/>
      <c r="E377" s="349"/>
      <c r="F377" s="349"/>
      <c r="G377" s="349"/>
      <c r="H377" s="349"/>
      <c r="I377" s="350"/>
      <c r="J377" s="341">
        <f t="shared" si="21"/>
        <v>0</v>
      </c>
      <c r="K377" s="144"/>
    </row>
    <row r="378" spans="1:11">
      <c r="A378" s="144"/>
      <c r="B378" s="348"/>
      <c r="C378" s="349"/>
      <c r="D378" s="349"/>
      <c r="E378" s="349"/>
      <c r="F378" s="349"/>
      <c r="G378" s="349"/>
      <c r="H378" s="349"/>
      <c r="I378" s="350"/>
      <c r="J378" s="341">
        <f t="shared" si="21"/>
        <v>0</v>
      </c>
      <c r="K378" s="144"/>
    </row>
    <row r="379" spans="1:11">
      <c r="A379" s="144"/>
      <c r="B379" s="348"/>
      <c r="C379" s="349"/>
      <c r="D379" s="349"/>
      <c r="E379" s="349"/>
      <c r="F379" s="349"/>
      <c r="G379" s="349"/>
      <c r="H379" s="349"/>
      <c r="I379" s="350"/>
      <c r="J379" s="341">
        <f t="shared" si="21"/>
        <v>0</v>
      </c>
      <c r="K379" s="144"/>
    </row>
    <row r="380" spans="1:11">
      <c r="A380" s="144"/>
      <c r="B380" s="333"/>
      <c r="C380" s="334"/>
      <c r="D380" s="334"/>
      <c r="E380" s="334"/>
      <c r="F380" s="334"/>
      <c r="G380" s="334"/>
      <c r="H380" s="334"/>
      <c r="I380" s="335"/>
      <c r="J380" s="341">
        <f t="shared" si="21"/>
        <v>0</v>
      </c>
      <c r="K380" s="144"/>
    </row>
    <row r="381" spans="1:11">
      <c r="A381" s="144"/>
      <c r="B381" s="333"/>
      <c r="C381" s="334"/>
      <c r="D381" s="334"/>
      <c r="E381" s="334"/>
      <c r="F381" s="334"/>
      <c r="G381" s="334"/>
      <c r="H381" s="334"/>
      <c r="I381" s="335"/>
      <c r="J381" s="341">
        <f t="shared" si="21"/>
        <v>0</v>
      </c>
      <c r="K381" s="144"/>
    </row>
    <row r="382" spans="1:11">
      <c r="A382" s="144"/>
      <c r="B382" s="333"/>
      <c r="C382" s="334"/>
      <c r="D382" s="334"/>
      <c r="E382" s="334"/>
      <c r="F382" s="334"/>
      <c r="G382" s="334"/>
      <c r="H382" s="334"/>
      <c r="I382" s="335"/>
      <c r="J382" s="341">
        <f t="shared" si="21"/>
        <v>0</v>
      </c>
      <c r="K382" s="144"/>
    </row>
    <row r="383" spans="1:11" ht="16" thickBot="1">
      <c r="A383" s="144"/>
      <c r="B383" s="333"/>
      <c r="C383" s="334"/>
      <c r="D383" s="334"/>
      <c r="E383" s="334"/>
      <c r="F383" s="334"/>
      <c r="G383" s="334"/>
      <c r="H383" s="334"/>
      <c r="I383" s="335"/>
      <c r="J383" s="342">
        <f t="shared" si="21"/>
        <v>0</v>
      </c>
      <c r="K383" s="144"/>
    </row>
    <row r="384" spans="1:11" ht="16" thickBot="1">
      <c r="A384" s="144"/>
      <c r="B384" s="336"/>
      <c r="C384" s="337"/>
      <c r="D384" s="337"/>
      <c r="E384" s="337"/>
      <c r="F384" s="337"/>
      <c r="G384" s="337"/>
      <c r="H384" s="337"/>
      <c r="I384" s="338"/>
      <c r="J384" s="343">
        <f>SUM(J372:J383)</f>
        <v>0</v>
      </c>
      <c r="K384" s="144"/>
    </row>
    <row r="385" spans="1:11">
      <c r="A385" s="144"/>
      <c r="B385" s="144"/>
      <c r="C385" s="144"/>
      <c r="D385" s="144"/>
      <c r="E385" s="144"/>
      <c r="F385" s="144"/>
      <c r="G385" s="144"/>
      <c r="H385" s="144"/>
      <c r="I385" s="144"/>
      <c r="J385" s="339"/>
      <c r="K385" s="144"/>
    </row>
    <row r="386" spans="1:11">
      <c r="A386" s="144"/>
      <c r="B386" s="425" t="s">
        <v>537</v>
      </c>
      <c r="C386" s="425"/>
      <c r="D386" s="425" t="s">
        <v>538</v>
      </c>
      <c r="E386" s="425"/>
      <c r="F386" s="425"/>
      <c r="G386" s="425"/>
      <c r="H386" s="144"/>
      <c r="I386" s="140" t="s">
        <v>539</v>
      </c>
      <c r="J386" s="339"/>
      <c r="K386" s="144"/>
    </row>
    <row r="387" spans="1:11">
      <c r="A387" s="144"/>
      <c r="B387" s="457" t="str">
        <f>IF(ISBLANK('Raw Material Usage'!$C34),"",_xlfn.XLOOKUP('Raw Material Usage'!$D34,Data!$BR$7:$BR$263,Data!$BS$7:$BS$263))</f>
        <v/>
      </c>
      <c r="C387" s="457"/>
      <c r="D387" s="457" t="str">
        <f>IF(ISBLANK('Raw Material Usage'!$C34),"",_xlfn.XLOOKUP('Raw Material Usage'!D34,Data!$BR$7:$BR$263,Data!$BU$7:$BU$263))</f>
        <v/>
      </c>
      <c r="E387" s="457"/>
      <c r="F387" s="457"/>
      <c r="G387" s="457"/>
      <c r="H387" s="144"/>
      <c r="I387" s="351" t="str">
        <f>IF(ISBLANK('Raw Material Usage'!$C34),"",'Raw Material Usage'!$E34/'Unit Conversions'!$D$12)</f>
        <v/>
      </c>
      <c r="J387" s="339"/>
      <c r="K387" s="144"/>
    </row>
    <row r="388" spans="1:11">
      <c r="A388" s="144"/>
      <c r="B388" s="454" t="s">
        <v>540</v>
      </c>
      <c r="C388" s="454" t="s">
        <v>541</v>
      </c>
      <c r="D388" s="454" t="s">
        <v>51</v>
      </c>
      <c r="E388" s="454" t="s">
        <v>51</v>
      </c>
      <c r="F388" s="454" t="s">
        <v>542</v>
      </c>
      <c r="G388" s="454" t="s">
        <v>51</v>
      </c>
      <c r="H388" s="458" t="s">
        <v>51</v>
      </c>
      <c r="I388" s="454" t="s">
        <v>543</v>
      </c>
      <c r="J388" s="339"/>
      <c r="K388" s="144"/>
    </row>
    <row r="389" spans="1:11" ht="18" thickBot="1">
      <c r="A389" s="144"/>
      <c r="B389" s="455" t="s">
        <v>51</v>
      </c>
      <c r="C389" s="332" t="s">
        <v>544</v>
      </c>
      <c r="D389" s="332" t="s">
        <v>545</v>
      </c>
      <c r="E389" s="332" t="s">
        <v>546</v>
      </c>
      <c r="F389" s="332" t="s">
        <v>544</v>
      </c>
      <c r="G389" s="332" t="s">
        <v>545</v>
      </c>
      <c r="H389" s="332" t="s">
        <v>546</v>
      </c>
      <c r="I389" s="455" t="s">
        <v>51</v>
      </c>
      <c r="J389" s="341">
        <f>SUM(C390,F390,I390)</f>
        <v>0</v>
      </c>
      <c r="K389" s="144"/>
    </row>
    <row r="390" spans="1:11">
      <c r="A390" s="144"/>
      <c r="B390" s="345"/>
      <c r="C390" s="346"/>
      <c r="D390" s="346"/>
      <c r="E390" s="346"/>
      <c r="F390" s="346"/>
      <c r="G390" s="346"/>
      <c r="H390" s="346"/>
      <c r="I390" s="347"/>
      <c r="J390" s="341">
        <f t="shared" ref="J390:J400" si="22">SUM(C391,F391,I391)</f>
        <v>0</v>
      </c>
      <c r="K390" s="144"/>
    </row>
    <row r="391" spans="1:11">
      <c r="A391" s="144"/>
      <c r="B391" s="348"/>
      <c r="C391" s="349"/>
      <c r="D391" s="349"/>
      <c r="E391" s="349"/>
      <c r="F391" s="349"/>
      <c r="G391" s="349"/>
      <c r="H391" s="349"/>
      <c r="I391" s="350"/>
      <c r="J391" s="341">
        <f t="shared" si="22"/>
        <v>0</v>
      </c>
      <c r="K391" s="144"/>
    </row>
    <row r="392" spans="1:11">
      <c r="A392" s="144"/>
      <c r="B392" s="348"/>
      <c r="C392" s="349"/>
      <c r="D392" s="349"/>
      <c r="E392" s="349"/>
      <c r="F392" s="349"/>
      <c r="G392" s="349"/>
      <c r="H392" s="349"/>
      <c r="I392" s="350"/>
      <c r="J392" s="341">
        <f t="shared" si="22"/>
        <v>0</v>
      </c>
      <c r="K392" s="144"/>
    </row>
    <row r="393" spans="1:11">
      <c r="A393" s="144"/>
      <c r="B393" s="348"/>
      <c r="C393" s="349"/>
      <c r="D393" s="349"/>
      <c r="E393" s="349"/>
      <c r="F393" s="349"/>
      <c r="G393" s="349"/>
      <c r="H393" s="349"/>
      <c r="I393" s="350"/>
      <c r="J393" s="341">
        <f t="shared" si="22"/>
        <v>0</v>
      </c>
      <c r="K393" s="144"/>
    </row>
    <row r="394" spans="1:11">
      <c r="A394" s="144"/>
      <c r="B394" s="348"/>
      <c r="C394" s="349"/>
      <c r="D394" s="349"/>
      <c r="E394" s="349"/>
      <c r="F394" s="349"/>
      <c r="G394" s="349"/>
      <c r="H394" s="349"/>
      <c r="I394" s="350"/>
      <c r="J394" s="341">
        <f t="shared" si="22"/>
        <v>0</v>
      </c>
      <c r="K394" s="144"/>
    </row>
    <row r="395" spans="1:11">
      <c r="A395" s="144"/>
      <c r="B395" s="348"/>
      <c r="C395" s="349"/>
      <c r="D395" s="349"/>
      <c r="E395" s="349"/>
      <c r="F395" s="349"/>
      <c r="G395" s="349"/>
      <c r="H395" s="349"/>
      <c r="I395" s="350"/>
      <c r="J395" s="341">
        <f t="shared" si="22"/>
        <v>0</v>
      </c>
      <c r="K395" s="144"/>
    </row>
    <row r="396" spans="1:11">
      <c r="A396" s="144"/>
      <c r="B396" s="348"/>
      <c r="C396" s="349"/>
      <c r="D396" s="349"/>
      <c r="E396" s="349"/>
      <c r="F396" s="349"/>
      <c r="G396" s="349"/>
      <c r="H396" s="349"/>
      <c r="I396" s="350"/>
      <c r="J396" s="341">
        <f t="shared" si="22"/>
        <v>0</v>
      </c>
      <c r="K396" s="144"/>
    </row>
    <row r="397" spans="1:11">
      <c r="A397" s="144"/>
      <c r="B397" s="333"/>
      <c r="C397" s="334"/>
      <c r="D397" s="334"/>
      <c r="E397" s="334"/>
      <c r="F397" s="334"/>
      <c r="G397" s="334"/>
      <c r="H397" s="334"/>
      <c r="I397" s="335"/>
      <c r="J397" s="341">
        <f t="shared" si="22"/>
        <v>0</v>
      </c>
      <c r="K397" s="144"/>
    </row>
    <row r="398" spans="1:11">
      <c r="A398" s="144"/>
      <c r="B398" s="333"/>
      <c r="C398" s="334"/>
      <c r="D398" s="334"/>
      <c r="E398" s="334"/>
      <c r="F398" s="334"/>
      <c r="G398" s="334"/>
      <c r="H398" s="334"/>
      <c r="I398" s="335"/>
      <c r="J398" s="341">
        <f t="shared" si="22"/>
        <v>0</v>
      </c>
      <c r="K398" s="144"/>
    </row>
    <row r="399" spans="1:11">
      <c r="A399" s="144"/>
      <c r="B399" s="333"/>
      <c r="C399" s="334"/>
      <c r="D399" s="334"/>
      <c r="E399" s="334"/>
      <c r="F399" s="334"/>
      <c r="G399" s="334"/>
      <c r="H399" s="334"/>
      <c r="I399" s="335"/>
      <c r="J399" s="341">
        <f t="shared" si="22"/>
        <v>0</v>
      </c>
      <c r="K399" s="144"/>
    </row>
    <row r="400" spans="1:11" ht="16" thickBot="1">
      <c r="A400" s="144"/>
      <c r="B400" s="333"/>
      <c r="C400" s="334"/>
      <c r="D400" s="334"/>
      <c r="E400" s="334"/>
      <c r="F400" s="334"/>
      <c r="G400" s="334"/>
      <c r="H400" s="334"/>
      <c r="I400" s="335"/>
      <c r="J400" s="342">
        <f t="shared" si="22"/>
        <v>0</v>
      </c>
      <c r="K400" s="144"/>
    </row>
    <row r="401" spans="1:11" ht="16" thickBot="1">
      <c r="A401" s="144"/>
      <c r="B401" s="336"/>
      <c r="C401" s="337"/>
      <c r="D401" s="337"/>
      <c r="E401" s="337"/>
      <c r="F401" s="337"/>
      <c r="G401" s="337"/>
      <c r="H401" s="337"/>
      <c r="I401" s="338"/>
      <c r="J401" s="343">
        <f>SUM(J389:J400)</f>
        <v>0</v>
      </c>
      <c r="K401" s="144"/>
    </row>
    <row r="402" spans="1:11">
      <c r="A402" s="144"/>
      <c r="B402" s="144"/>
      <c r="C402" s="144"/>
      <c r="D402" s="144"/>
      <c r="E402" s="144"/>
      <c r="F402" s="144"/>
      <c r="G402" s="144"/>
      <c r="H402" s="144"/>
      <c r="I402" s="144"/>
      <c r="J402" s="339"/>
      <c r="K402" s="144"/>
    </row>
    <row r="403" spans="1:11">
      <c r="A403" s="144"/>
      <c r="B403" s="425" t="s">
        <v>537</v>
      </c>
      <c r="C403" s="425"/>
      <c r="D403" s="425" t="s">
        <v>538</v>
      </c>
      <c r="E403" s="425"/>
      <c r="F403" s="425"/>
      <c r="G403" s="425"/>
      <c r="H403" s="144"/>
      <c r="I403" s="140" t="s">
        <v>539</v>
      </c>
      <c r="J403" s="339"/>
      <c r="K403" s="144"/>
    </row>
    <row r="404" spans="1:11">
      <c r="A404" s="144"/>
      <c r="B404" s="457" t="str">
        <f>IF(ISBLANK('Raw Material Usage'!$C35),"",_xlfn.XLOOKUP('Raw Material Usage'!$D35,Data!$BR$7:$BR$263,Data!$BS$7:$BS$263))</f>
        <v/>
      </c>
      <c r="C404" s="457"/>
      <c r="D404" s="457" t="str">
        <f>IF(ISBLANK('Raw Material Usage'!$C35),"",_xlfn.XLOOKUP('Raw Material Usage'!D35,Data!$BR$7:$BR$263,Data!$BU$7:$BU$263))</f>
        <v/>
      </c>
      <c r="E404" s="457"/>
      <c r="F404" s="457"/>
      <c r="G404" s="457"/>
      <c r="H404" s="144"/>
      <c r="I404" s="351" t="str">
        <f>IF(ISBLANK('Raw Material Usage'!$C35),"",'Raw Material Usage'!$E35/'Unit Conversions'!$D$12)</f>
        <v/>
      </c>
      <c r="J404" s="339"/>
      <c r="K404" s="144"/>
    </row>
    <row r="405" spans="1:11">
      <c r="A405" s="144"/>
      <c r="B405" s="454" t="s">
        <v>540</v>
      </c>
      <c r="C405" s="454" t="s">
        <v>541</v>
      </c>
      <c r="D405" s="454" t="s">
        <v>51</v>
      </c>
      <c r="E405" s="454" t="s">
        <v>51</v>
      </c>
      <c r="F405" s="454" t="s">
        <v>542</v>
      </c>
      <c r="G405" s="454" t="s">
        <v>51</v>
      </c>
      <c r="H405" s="458" t="s">
        <v>51</v>
      </c>
      <c r="I405" s="454" t="s">
        <v>543</v>
      </c>
      <c r="J405" s="339"/>
      <c r="K405" s="144"/>
    </row>
    <row r="406" spans="1:11" ht="18" thickBot="1">
      <c r="A406" s="144"/>
      <c r="B406" s="455" t="s">
        <v>51</v>
      </c>
      <c r="C406" s="332" t="s">
        <v>544</v>
      </c>
      <c r="D406" s="332" t="s">
        <v>545</v>
      </c>
      <c r="E406" s="332" t="s">
        <v>546</v>
      </c>
      <c r="F406" s="332" t="s">
        <v>544</v>
      </c>
      <c r="G406" s="332" t="s">
        <v>545</v>
      </c>
      <c r="H406" s="332" t="s">
        <v>546</v>
      </c>
      <c r="I406" s="455" t="s">
        <v>51</v>
      </c>
      <c r="J406" s="341">
        <f>SUM(C407,F407,I407)</f>
        <v>0</v>
      </c>
      <c r="K406" s="144"/>
    </row>
    <row r="407" spans="1:11">
      <c r="A407" s="144"/>
      <c r="B407" s="345"/>
      <c r="C407" s="346"/>
      <c r="D407" s="346"/>
      <c r="E407" s="346"/>
      <c r="F407" s="346"/>
      <c r="G407" s="346"/>
      <c r="H407" s="346"/>
      <c r="I407" s="347"/>
      <c r="J407" s="341">
        <f t="shared" ref="J407:J417" si="23">SUM(C408,F408,I408)</f>
        <v>0</v>
      </c>
      <c r="K407" s="144"/>
    </row>
    <row r="408" spans="1:11">
      <c r="A408" s="144"/>
      <c r="B408" s="348"/>
      <c r="C408" s="349"/>
      <c r="D408" s="349"/>
      <c r="E408" s="349"/>
      <c r="F408" s="349"/>
      <c r="G408" s="349"/>
      <c r="H408" s="349"/>
      <c r="I408" s="350"/>
      <c r="J408" s="341">
        <f t="shared" si="23"/>
        <v>0</v>
      </c>
      <c r="K408" s="144"/>
    </row>
    <row r="409" spans="1:11">
      <c r="A409" s="144"/>
      <c r="B409" s="348"/>
      <c r="C409" s="349"/>
      <c r="D409" s="349"/>
      <c r="E409" s="349"/>
      <c r="F409" s="349"/>
      <c r="G409" s="349"/>
      <c r="H409" s="349"/>
      <c r="I409" s="350"/>
      <c r="J409" s="341">
        <f t="shared" si="23"/>
        <v>0</v>
      </c>
      <c r="K409" s="144"/>
    </row>
    <row r="410" spans="1:11">
      <c r="A410" s="144"/>
      <c r="B410" s="348"/>
      <c r="C410" s="349"/>
      <c r="D410" s="349"/>
      <c r="E410" s="349"/>
      <c r="F410" s="349"/>
      <c r="G410" s="349"/>
      <c r="H410" s="349"/>
      <c r="I410" s="350"/>
      <c r="J410" s="341">
        <f t="shared" si="23"/>
        <v>0</v>
      </c>
      <c r="K410" s="144"/>
    </row>
    <row r="411" spans="1:11">
      <c r="A411" s="144"/>
      <c r="B411" s="348"/>
      <c r="C411" s="349"/>
      <c r="D411" s="349"/>
      <c r="E411" s="349"/>
      <c r="F411" s="349"/>
      <c r="G411" s="349"/>
      <c r="H411" s="349"/>
      <c r="I411" s="350"/>
      <c r="J411" s="341">
        <f t="shared" si="23"/>
        <v>0</v>
      </c>
      <c r="K411" s="144"/>
    </row>
    <row r="412" spans="1:11">
      <c r="A412" s="144"/>
      <c r="B412" s="348"/>
      <c r="C412" s="349"/>
      <c r="D412" s="349"/>
      <c r="E412" s="349"/>
      <c r="F412" s="349"/>
      <c r="G412" s="349"/>
      <c r="H412" s="349"/>
      <c r="I412" s="350"/>
      <c r="J412" s="341">
        <f t="shared" si="23"/>
        <v>0</v>
      </c>
      <c r="K412" s="144"/>
    </row>
    <row r="413" spans="1:11">
      <c r="A413" s="144"/>
      <c r="B413" s="348"/>
      <c r="C413" s="349"/>
      <c r="D413" s="349"/>
      <c r="E413" s="349"/>
      <c r="F413" s="349"/>
      <c r="G413" s="349"/>
      <c r="H413" s="349"/>
      <c r="I413" s="350"/>
      <c r="J413" s="341">
        <f t="shared" si="23"/>
        <v>0</v>
      </c>
      <c r="K413" s="144"/>
    </row>
    <row r="414" spans="1:11">
      <c r="A414" s="144"/>
      <c r="B414" s="333"/>
      <c r="C414" s="334"/>
      <c r="D414" s="334"/>
      <c r="E414" s="334"/>
      <c r="F414" s="334"/>
      <c r="G414" s="334"/>
      <c r="H414" s="334"/>
      <c r="I414" s="335"/>
      <c r="J414" s="341">
        <f t="shared" si="23"/>
        <v>0</v>
      </c>
      <c r="K414" s="144"/>
    </row>
    <row r="415" spans="1:11">
      <c r="A415" s="144"/>
      <c r="B415" s="333"/>
      <c r="C415" s="334"/>
      <c r="D415" s="334"/>
      <c r="E415" s="334"/>
      <c r="F415" s="334"/>
      <c r="G415" s="334"/>
      <c r="H415" s="334"/>
      <c r="I415" s="335"/>
      <c r="J415" s="341">
        <f t="shared" si="23"/>
        <v>0</v>
      </c>
      <c r="K415" s="144"/>
    </row>
    <row r="416" spans="1:11">
      <c r="A416" s="144"/>
      <c r="B416" s="333"/>
      <c r="C416" s="334"/>
      <c r="D416" s="334"/>
      <c r="E416" s="334"/>
      <c r="F416" s="334"/>
      <c r="G416" s="334"/>
      <c r="H416" s="334"/>
      <c r="I416" s="335"/>
      <c r="J416" s="341">
        <f t="shared" si="23"/>
        <v>0</v>
      </c>
      <c r="K416" s="144"/>
    </row>
    <row r="417" spans="1:11" ht="16" thickBot="1">
      <c r="A417" s="144"/>
      <c r="B417" s="333"/>
      <c r="C417" s="334"/>
      <c r="D417" s="334"/>
      <c r="E417" s="334"/>
      <c r="F417" s="334"/>
      <c r="G417" s="334"/>
      <c r="H417" s="334"/>
      <c r="I417" s="335"/>
      <c r="J417" s="342">
        <f t="shared" si="23"/>
        <v>0</v>
      </c>
      <c r="K417" s="144"/>
    </row>
    <row r="418" spans="1:11" ht="16" thickBot="1">
      <c r="A418" s="144"/>
      <c r="B418" s="336"/>
      <c r="C418" s="337"/>
      <c r="D418" s="337"/>
      <c r="E418" s="337"/>
      <c r="F418" s="337"/>
      <c r="G418" s="337"/>
      <c r="H418" s="337"/>
      <c r="I418" s="338"/>
      <c r="J418" s="343">
        <f>SUM(J406:J417)</f>
        <v>0</v>
      </c>
      <c r="K418" s="144"/>
    </row>
    <row r="419" spans="1:11">
      <c r="A419" s="144"/>
      <c r="B419" s="144"/>
      <c r="C419" s="144"/>
      <c r="D419" s="144"/>
      <c r="E419" s="144"/>
      <c r="F419" s="144"/>
      <c r="G419" s="144"/>
      <c r="H419" s="144"/>
      <c r="I419" s="144"/>
      <c r="J419" s="339"/>
      <c r="K419" s="144"/>
    </row>
    <row r="420" spans="1:11">
      <c r="A420" s="144"/>
      <c r="B420" s="425" t="s">
        <v>537</v>
      </c>
      <c r="C420" s="425"/>
      <c r="D420" s="425" t="s">
        <v>538</v>
      </c>
      <c r="E420" s="425"/>
      <c r="F420" s="425"/>
      <c r="G420" s="425"/>
      <c r="H420" s="144"/>
      <c r="I420" s="140" t="s">
        <v>539</v>
      </c>
      <c r="J420" s="339"/>
      <c r="K420" s="144"/>
    </row>
    <row r="421" spans="1:11">
      <c r="A421" s="144"/>
      <c r="B421" s="457" t="str">
        <f>IF(ISBLANK('Raw Material Usage'!$C36),"",_xlfn.XLOOKUP('Raw Material Usage'!$D36,Data!$BR$7:$BR$263,Data!$BS$7:$BS$263))</f>
        <v/>
      </c>
      <c r="C421" s="457"/>
      <c r="D421" s="457" t="str">
        <f>IF(ISBLANK('Raw Material Usage'!$C36),"",_xlfn.XLOOKUP('Raw Material Usage'!D36,Data!$BR$7:$BR$263,Data!$BU$7:$BU$263))</f>
        <v/>
      </c>
      <c r="E421" s="457"/>
      <c r="F421" s="457"/>
      <c r="G421" s="457"/>
      <c r="H421" s="144"/>
      <c r="I421" s="351" t="str">
        <f>IF(ISBLANK('Raw Material Usage'!$C36),"",'Raw Material Usage'!$E36/'Unit Conversions'!$D$12)</f>
        <v/>
      </c>
      <c r="J421" s="339"/>
      <c r="K421" s="144"/>
    </row>
    <row r="422" spans="1:11">
      <c r="A422" s="144"/>
      <c r="B422" s="454" t="s">
        <v>540</v>
      </c>
      <c r="C422" s="454" t="s">
        <v>541</v>
      </c>
      <c r="D422" s="454" t="s">
        <v>51</v>
      </c>
      <c r="E422" s="454" t="s">
        <v>51</v>
      </c>
      <c r="F422" s="454" t="s">
        <v>542</v>
      </c>
      <c r="G422" s="454" t="s">
        <v>51</v>
      </c>
      <c r="H422" s="458" t="s">
        <v>51</v>
      </c>
      <c r="I422" s="454" t="s">
        <v>543</v>
      </c>
      <c r="J422" s="339"/>
      <c r="K422" s="144"/>
    </row>
    <row r="423" spans="1:11" ht="18" thickBot="1">
      <c r="A423" s="144"/>
      <c r="B423" s="455" t="s">
        <v>51</v>
      </c>
      <c r="C423" s="332" t="s">
        <v>544</v>
      </c>
      <c r="D423" s="332" t="s">
        <v>545</v>
      </c>
      <c r="E423" s="332" t="s">
        <v>546</v>
      </c>
      <c r="F423" s="332" t="s">
        <v>544</v>
      </c>
      <c r="G423" s="332" t="s">
        <v>545</v>
      </c>
      <c r="H423" s="332" t="s">
        <v>546</v>
      </c>
      <c r="I423" s="455" t="s">
        <v>51</v>
      </c>
      <c r="J423" s="341">
        <f>SUM(C424,F424,I424)</f>
        <v>0</v>
      </c>
      <c r="K423" s="144"/>
    </row>
    <row r="424" spans="1:11">
      <c r="A424" s="144"/>
      <c r="B424" s="345"/>
      <c r="C424" s="346"/>
      <c r="D424" s="346"/>
      <c r="E424" s="346"/>
      <c r="F424" s="346"/>
      <c r="G424" s="346"/>
      <c r="H424" s="346"/>
      <c r="I424" s="347"/>
      <c r="J424" s="341">
        <f t="shared" ref="J424:J434" si="24">SUM(C425,F425,I425)</f>
        <v>0</v>
      </c>
      <c r="K424" s="144"/>
    </row>
    <row r="425" spans="1:11">
      <c r="A425" s="144"/>
      <c r="B425" s="348"/>
      <c r="C425" s="349"/>
      <c r="D425" s="349"/>
      <c r="E425" s="349"/>
      <c r="F425" s="349"/>
      <c r="G425" s="349"/>
      <c r="H425" s="349"/>
      <c r="I425" s="350"/>
      <c r="J425" s="341">
        <f t="shared" si="24"/>
        <v>0</v>
      </c>
      <c r="K425" s="144"/>
    </row>
    <row r="426" spans="1:11">
      <c r="A426" s="144"/>
      <c r="B426" s="348"/>
      <c r="C426" s="349"/>
      <c r="D426" s="349"/>
      <c r="E426" s="349"/>
      <c r="F426" s="349"/>
      <c r="G426" s="349"/>
      <c r="H426" s="349"/>
      <c r="I426" s="350"/>
      <c r="J426" s="341">
        <f t="shared" si="24"/>
        <v>0</v>
      </c>
      <c r="K426" s="144"/>
    </row>
    <row r="427" spans="1:11">
      <c r="A427" s="144"/>
      <c r="B427" s="348"/>
      <c r="C427" s="349"/>
      <c r="D427" s="349"/>
      <c r="E427" s="349"/>
      <c r="F427" s="349"/>
      <c r="G427" s="349"/>
      <c r="H427" s="349"/>
      <c r="I427" s="350"/>
      <c r="J427" s="341">
        <f t="shared" si="24"/>
        <v>0</v>
      </c>
      <c r="K427" s="144"/>
    </row>
    <row r="428" spans="1:11">
      <c r="A428" s="144"/>
      <c r="B428" s="348"/>
      <c r="C428" s="349"/>
      <c r="D428" s="349"/>
      <c r="E428" s="349"/>
      <c r="F428" s="349"/>
      <c r="G428" s="349"/>
      <c r="H428" s="349"/>
      <c r="I428" s="350"/>
      <c r="J428" s="341">
        <f t="shared" si="24"/>
        <v>0</v>
      </c>
      <c r="K428" s="144"/>
    </row>
    <row r="429" spans="1:11">
      <c r="A429" s="144"/>
      <c r="B429" s="348"/>
      <c r="C429" s="349"/>
      <c r="D429" s="349"/>
      <c r="E429" s="349"/>
      <c r="F429" s="349"/>
      <c r="G429" s="349"/>
      <c r="H429" s="349"/>
      <c r="I429" s="350"/>
      <c r="J429" s="341">
        <f t="shared" si="24"/>
        <v>0</v>
      </c>
      <c r="K429" s="144"/>
    </row>
    <row r="430" spans="1:11">
      <c r="A430" s="144"/>
      <c r="B430" s="348"/>
      <c r="C430" s="349"/>
      <c r="D430" s="349"/>
      <c r="E430" s="349"/>
      <c r="F430" s="349"/>
      <c r="G430" s="349"/>
      <c r="H430" s="349"/>
      <c r="I430" s="350"/>
      <c r="J430" s="341">
        <f t="shared" si="24"/>
        <v>0</v>
      </c>
      <c r="K430" s="144"/>
    </row>
    <row r="431" spans="1:11">
      <c r="A431" s="144"/>
      <c r="B431" s="333"/>
      <c r="C431" s="334"/>
      <c r="D431" s="334"/>
      <c r="E431" s="334"/>
      <c r="F431" s="334"/>
      <c r="G431" s="334"/>
      <c r="H431" s="334"/>
      <c r="I431" s="335"/>
      <c r="J431" s="341">
        <f t="shared" si="24"/>
        <v>0</v>
      </c>
      <c r="K431" s="144"/>
    </row>
    <row r="432" spans="1:11">
      <c r="A432" s="144"/>
      <c r="B432" s="333"/>
      <c r="C432" s="334"/>
      <c r="D432" s="334"/>
      <c r="E432" s="334"/>
      <c r="F432" s="334"/>
      <c r="G432" s="334"/>
      <c r="H432" s="334"/>
      <c r="I432" s="335"/>
      <c r="J432" s="341">
        <f t="shared" si="24"/>
        <v>0</v>
      </c>
      <c r="K432" s="144"/>
    </row>
    <row r="433" spans="1:11">
      <c r="A433" s="144"/>
      <c r="B433" s="333"/>
      <c r="C433" s="334"/>
      <c r="D433" s="334"/>
      <c r="E433" s="334"/>
      <c r="F433" s="334"/>
      <c r="G433" s="334"/>
      <c r="H433" s="334"/>
      <c r="I433" s="335"/>
      <c r="J433" s="341">
        <f t="shared" si="24"/>
        <v>0</v>
      </c>
      <c r="K433" s="144"/>
    </row>
    <row r="434" spans="1:11" ht="16" thickBot="1">
      <c r="A434" s="144"/>
      <c r="B434" s="333"/>
      <c r="C434" s="334"/>
      <c r="D434" s="334"/>
      <c r="E434" s="334"/>
      <c r="F434" s="334"/>
      <c r="G434" s="334"/>
      <c r="H434" s="334"/>
      <c r="I434" s="335"/>
      <c r="J434" s="342">
        <f t="shared" si="24"/>
        <v>0</v>
      </c>
      <c r="K434" s="144"/>
    </row>
    <row r="435" spans="1:11" ht="16" thickBot="1">
      <c r="A435" s="144"/>
      <c r="B435" s="336"/>
      <c r="C435" s="337"/>
      <c r="D435" s="337"/>
      <c r="E435" s="337"/>
      <c r="F435" s="337"/>
      <c r="G435" s="337"/>
      <c r="H435" s="337"/>
      <c r="I435" s="338"/>
      <c r="J435" s="343">
        <f>SUM(J423:J434)</f>
        <v>0</v>
      </c>
      <c r="K435" s="144"/>
    </row>
    <row r="436" spans="1:11">
      <c r="A436" s="144"/>
      <c r="B436" s="144"/>
      <c r="C436" s="144"/>
      <c r="D436" s="144"/>
      <c r="E436" s="144"/>
      <c r="F436" s="144"/>
      <c r="G436" s="144"/>
      <c r="H436" s="144"/>
      <c r="I436" s="144"/>
      <c r="J436" s="339"/>
      <c r="K436" s="144"/>
    </row>
    <row r="437" spans="1:11">
      <c r="A437" s="144"/>
      <c r="B437" s="425" t="s">
        <v>537</v>
      </c>
      <c r="C437" s="425"/>
      <c r="D437" s="425" t="s">
        <v>538</v>
      </c>
      <c r="E437" s="425"/>
      <c r="F437" s="425"/>
      <c r="G437" s="425"/>
      <c r="H437" s="144"/>
      <c r="I437" s="140" t="s">
        <v>539</v>
      </c>
      <c r="J437" s="339"/>
      <c r="K437" s="144"/>
    </row>
    <row r="438" spans="1:11">
      <c r="A438" s="144"/>
      <c r="B438" s="457" t="str">
        <f>IF(ISBLANK('Raw Material Usage'!$C37),"",_xlfn.XLOOKUP('Raw Material Usage'!$D37,Data!$BR$7:$BR$263,Data!$BS$7:$BS$263))</f>
        <v/>
      </c>
      <c r="C438" s="457"/>
      <c r="D438" s="457" t="str">
        <f>IF(ISBLANK('Raw Material Usage'!$C37),"",_xlfn.XLOOKUP('Raw Material Usage'!D37,Data!$BR$7:$BR$263,Data!$BU$7:$BU$263))</f>
        <v/>
      </c>
      <c r="E438" s="457"/>
      <c r="F438" s="457"/>
      <c r="G438" s="457"/>
      <c r="H438" s="144"/>
      <c r="I438" s="351" t="str">
        <f>IF(ISBLANK('Raw Material Usage'!$C37),"",'Raw Material Usage'!$E37/'Unit Conversions'!$D$12)</f>
        <v/>
      </c>
      <c r="J438" s="339"/>
      <c r="K438" s="144"/>
    </row>
    <row r="439" spans="1:11">
      <c r="A439" s="144"/>
      <c r="B439" s="454" t="s">
        <v>540</v>
      </c>
      <c r="C439" s="454" t="s">
        <v>541</v>
      </c>
      <c r="D439" s="454" t="s">
        <v>51</v>
      </c>
      <c r="E439" s="454" t="s">
        <v>51</v>
      </c>
      <c r="F439" s="454" t="s">
        <v>542</v>
      </c>
      <c r="G439" s="454" t="s">
        <v>51</v>
      </c>
      <c r="H439" s="458" t="s">
        <v>51</v>
      </c>
      <c r="I439" s="454" t="s">
        <v>543</v>
      </c>
      <c r="J439" s="339"/>
      <c r="K439" s="144"/>
    </row>
    <row r="440" spans="1:11" ht="18" thickBot="1">
      <c r="A440" s="144"/>
      <c r="B440" s="455" t="s">
        <v>51</v>
      </c>
      <c r="C440" s="332" t="s">
        <v>544</v>
      </c>
      <c r="D440" s="332" t="s">
        <v>545</v>
      </c>
      <c r="E440" s="332" t="s">
        <v>546</v>
      </c>
      <c r="F440" s="332" t="s">
        <v>544</v>
      </c>
      <c r="G440" s="332" t="s">
        <v>545</v>
      </c>
      <c r="H440" s="332" t="s">
        <v>546</v>
      </c>
      <c r="I440" s="455" t="s">
        <v>51</v>
      </c>
      <c r="J440" s="341">
        <f>SUM(C441,F441,I441)</f>
        <v>0</v>
      </c>
      <c r="K440" s="144"/>
    </row>
    <row r="441" spans="1:11">
      <c r="A441" s="144"/>
      <c r="B441" s="345"/>
      <c r="C441" s="346"/>
      <c r="D441" s="346"/>
      <c r="E441" s="346"/>
      <c r="F441" s="346"/>
      <c r="G441" s="346"/>
      <c r="H441" s="346"/>
      <c r="I441" s="347"/>
      <c r="J441" s="341">
        <f t="shared" ref="J441:J451" si="25">SUM(C442,F442,I442)</f>
        <v>0</v>
      </c>
      <c r="K441" s="144"/>
    </row>
    <row r="442" spans="1:11">
      <c r="A442" s="144"/>
      <c r="B442" s="348"/>
      <c r="C442" s="349"/>
      <c r="D442" s="349"/>
      <c r="E442" s="349"/>
      <c r="F442" s="349"/>
      <c r="G442" s="349"/>
      <c r="H442" s="349"/>
      <c r="I442" s="350"/>
      <c r="J442" s="341">
        <f t="shared" si="25"/>
        <v>0</v>
      </c>
      <c r="K442" s="144"/>
    </row>
    <row r="443" spans="1:11">
      <c r="A443" s="144"/>
      <c r="B443" s="348"/>
      <c r="C443" s="349"/>
      <c r="D443" s="349"/>
      <c r="E443" s="349"/>
      <c r="F443" s="349"/>
      <c r="G443" s="349"/>
      <c r="H443" s="349"/>
      <c r="I443" s="350"/>
      <c r="J443" s="341">
        <f t="shared" si="25"/>
        <v>0</v>
      </c>
      <c r="K443" s="144"/>
    </row>
    <row r="444" spans="1:11">
      <c r="A444" s="144"/>
      <c r="B444" s="348"/>
      <c r="C444" s="349"/>
      <c r="D444" s="349"/>
      <c r="E444" s="349"/>
      <c r="F444" s="349"/>
      <c r="G444" s="349"/>
      <c r="H444" s="349"/>
      <c r="I444" s="350"/>
      <c r="J444" s="341">
        <f t="shared" si="25"/>
        <v>0</v>
      </c>
      <c r="K444" s="144"/>
    </row>
    <row r="445" spans="1:11">
      <c r="A445" s="144"/>
      <c r="B445" s="348"/>
      <c r="C445" s="349"/>
      <c r="D445" s="349"/>
      <c r="E445" s="349"/>
      <c r="F445" s="349"/>
      <c r="G445" s="349"/>
      <c r="H445" s="349"/>
      <c r="I445" s="350"/>
      <c r="J445" s="341">
        <f t="shared" si="25"/>
        <v>0</v>
      </c>
      <c r="K445" s="144"/>
    </row>
    <row r="446" spans="1:11">
      <c r="A446" s="144"/>
      <c r="B446" s="348"/>
      <c r="C446" s="349"/>
      <c r="D446" s="349"/>
      <c r="E446" s="349"/>
      <c r="F446" s="349"/>
      <c r="G446" s="349"/>
      <c r="H446" s="349"/>
      <c r="I446" s="350"/>
      <c r="J446" s="341">
        <f t="shared" si="25"/>
        <v>0</v>
      </c>
      <c r="K446" s="144"/>
    </row>
    <row r="447" spans="1:11">
      <c r="A447" s="144"/>
      <c r="B447" s="348"/>
      <c r="C447" s="349"/>
      <c r="D447" s="349"/>
      <c r="E447" s="349"/>
      <c r="F447" s="349"/>
      <c r="G447" s="349"/>
      <c r="H447" s="349"/>
      <c r="I447" s="350"/>
      <c r="J447" s="341">
        <f t="shared" si="25"/>
        <v>0</v>
      </c>
      <c r="K447" s="144"/>
    </row>
    <row r="448" spans="1:11">
      <c r="A448" s="144"/>
      <c r="B448" s="333"/>
      <c r="C448" s="334"/>
      <c r="D448" s="334"/>
      <c r="E448" s="334"/>
      <c r="F448" s="334"/>
      <c r="G448" s="334"/>
      <c r="H448" s="334"/>
      <c r="I448" s="335"/>
      <c r="J448" s="341">
        <f t="shared" si="25"/>
        <v>0</v>
      </c>
      <c r="K448" s="144"/>
    </row>
    <row r="449" spans="1:11">
      <c r="A449" s="144"/>
      <c r="B449" s="333"/>
      <c r="C449" s="334"/>
      <c r="D449" s="334"/>
      <c r="E449" s="334"/>
      <c r="F449" s="334"/>
      <c r="G449" s="334"/>
      <c r="H449" s="334"/>
      <c r="I449" s="335"/>
      <c r="J449" s="341">
        <f t="shared" si="25"/>
        <v>0</v>
      </c>
      <c r="K449" s="144"/>
    </row>
    <row r="450" spans="1:11">
      <c r="A450" s="144"/>
      <c r="B450" s="333"/>
      <c r="C450" s="334"/>
      <c r="D450" s="334"/>
      <c r="E450" s="334"/>
      <c r="F450" s="334"/>
      <c r="G450" s="334"/>
      <c r="H450" s="334"/>
      <c r="I450" s="335"/>
      <c r="J450" s="341">
        <f t="shared" si="25"/>
        <v>0</v>
      </c>
      <c r="K450" s="144"/>
    </row>
    <row r="451" spans="1:11" ht="16" thickBot="1">
      <c r="A451" s="144"/>
      <c r="B451" s="333"/>
      <c r="C451" s="334"/>
      <c r="D451" s="334"/>
      <c r="E451" s="334"/>
      <c r="F451" s="334"/>
      <c r="G451" s="334"/>
      <c r="H451" s="334"/>
      <c r="I451" s="335"/>
      <c r="J451" s="342">
        <f t="shared" si="25"/>
        <v>0</v>
      </c>
      <c r="K451" s="144"/>
    </row>
    <row r="452" spans="1:11" ht="16" thickBot="1">
      <c r="A452" s="144"/>
      <c r="B452" s="336"/>
      <c r="C452" s="337"/>
      <c r="D452" s="337"/>
      <c r="E452" s="337"/>
      <c r="F452" s="337"/>
      <c r="G452" s="337"/>
      <c r="H452" s="337"/>
      <c r="I452" s="338"/>
      <c r="J452" s="343">
        <f>SUM(J440:J451)</f>
        <v>0</v>
      </c>
      <c r="K452" s="144"/>
    </row>
    <row r="453" spans="1:11">
      <c r="A453" s="144"/>
      <c r="B453" s="144"/>
      <c r="C453" s="144"/>
      <c r="D453" s="144"/>
      <c r="E453" s="144"/>
      <c r="F453" s="144"/>
      <c r="G453" s="144"/>
      <c r="H453" s="144"/>
      <c r="I453" s="144"/>
      <c r="J453" s="339"/>
      <c r="K453" s="144"/>
    </row>
    <row r="454" spans="1:11">
      <c r="A454" s="144"/>
      <c r="B454" s="425" t="s">
        <v>537</v>
      </c>
      <c r="C454" s="425"/>
      <c r="D454" s="425" t="s">
        <v>538</v>
      </c>
      <c r="E454" s="425"/>
      <c r="F454" s="425"/>
      <c r="G454" s="425"/>
      <c r="H454" s="144"/>
      <c r="I454" s="140" t="s">
        <v>539</v>
      </c>
      <c r="J454" s="339"/>
      <c r="K454" s="144"/>
    </row>
    <row r="455" spans="1:11">
      <c r="A455" s="144"/>
      <c r="B455" s="457" t="str">
        <f>IF(ISBLANK('Raw Material Usage'!$C38),"",_xlfn.XLOOKUP('Raw Material Usage'!$D38,Data!$BR$7:$BR$263,Data!$BS$7:$BS$263))</f>
        <v/>
      </c>
      <c r="C455" s="457"/>
      <c r="D455" s="457" t="str">
        <f>IF(ISBLANK('Raw Material Usage'!$C38),"",_xlfn.XLOOKUP('Raw Material Usage'!D38,Data!$BR$7:$BR$263,Data!$BU$7:$BU$263))</f>
        <v/>
      </c>
      <c r="E455" s="457"/>
      <c r="F455" s="457"/>
      <c r="G455" s="457"/>
      <c r="H455" s="144"/>
      <c r="I455" s="351" t="str">
        <f>IF(ISBLANK('Raw Material Usage'!$C38),"",'Raw Material Usage'!$E38/'Unit Conversions'!$D$12)</f>
        <v/>
      </c>
      <c r="J455" s="339"/>
      <c r="K455" s="144"/>
    </row>
    <row r="456" spans="1:11">
      <c r="A456" s="144"/>
      <c r="B456" s="454" t="s">
        <v>540</v>
      </c>
      <c r="C456" s="454" t="s">
        <v>541</v>
      </c>
      <c r="D456" s="454" t="s">
        <v>51</v>
      </c>
      <c r="E456" s="454" t="s">
        <v>51</v>
      </c>
      <c r="F456" s="454" t="s">
        <v>542</v>
      </c>
      <c r="G456" s="454" t="s">
        <v>51</v>
      </c>
      <c r="H456" s="458" t="s">
        <v>51</v>
      </c>
      <c r="I456" s="454" t="s">
        <v>543</v>
      </c>
      <c r="J456" s="339"/>
      <c r="K456" s="144"/>
    </row>
    <row r="457" spans="1:11" ht="18" thickBot="1">
      <c r="A457" s="144"/>
      <c r="B457" s="455" t="s">
        <v>51</v>
      </c>
      <c r="C457" s="332" t="s">
        <v>544</v>
      </c>
      <c r="D457" s="332" t="s">
        <v>545</v>
      </c>
      <c r="E457" s="332" t="s">
        <v>546</v>
      </c>
      <c r="F457" s="332" t="s">
        <v>544</v>
      </c>
      <c r="G457" s="332" t="s">
        <v>545</v>
      </c>
      <c r="H457" s="332" t="s">
        <v>546</v>
      </c>
      <c r="I457" s="455" t="s">
        <v>51</v>
      </c>
      <c r="J457" s="341">
        <f>SUM(C458,F458,I458)</f>
        <v>0</v>
      </c>
      <c r="K457" s="144"/>
    </row>
    <row r="458" spans="1:11">
      <c r="A458" s="144"/>
      <c r="B458" s="345"/>
      <c r="C458" s="346"/>
      <c r="D458" s="346"/>
      <c r="E458" s="346"/>
      <c r="F458" s="346"/>
      <c r="G458" s="346"/>
      <c r="H458" s="346"/>
      <c r="I458" s="347"/>
      <c r="J458" s="341">
        <f t="shared" ref="J458:J468" si="26">SUM(C459,F459,I459)</f>
        <v>0</v>
      </c>
      <c r="K458" s="144"/>
    </row>
    <row r="459" spans="1:11">
      <c r="A459" s="144"/>
      <c r="B459" s="348"/>
      <c r="C459" s="349"/>
      <c r="D459" s="349"/>
      <c r="E459" s="349"/>
      <c r="F459" s="349"/>
      <c r="G459" s="349"/>
      <c r="H459" s="349"/>
      <c r="I459" s="350"/>
      <c r="J459" s="341">
        <f t="shared" si="26"/>
        <v>0</v>
      </c>
      <c r="K459" s="144"/>
    </row>
    <row r="460" spans="1:11">
      <c r="A460" s="144"/>
      <c r="B460" s="348"/>
      <c r="C460" s="349"/>
      <c r="D460" s="349"/>
      <c r="E460" s="349"/>
      <c r="F460" s="349"/>
      <c r="G460" s="349"/>
      <c r="H460" s="349"/>
      <c r="I460" s="350"/>
      <c r="J460" s="341">
        <f t="shared" si="26"/>
        <v>0</v>
      </c>
      <c r="K460" s="144"/>
    </row>
    <row r="461" spans="1:11">
      <c r="A461" s="144"/>
      <c r="B461" s="348"/>
      <c r="C461" s="349"/>
      <c r="D461" s="349"/>
      <c r="E461" s="349"/>
      <c r="F461" s="349"/>
      <c r="G461" s="349"/>
      <c r="H461" s="349"/>
      <c r="I461" s="350"/>
      <c r="J461" s="341">
        <f t="shared" si="26"/>
        <v>0</v>
      </c>
      <c r="K461" s="144"/>
    </row>
    <row r="462" spans="1:11">
      <c r="A462" s="144"/>
      <c r="B462" s="348"/>
      <c r="C462" s="349"/>
      <c r="D462" s="349"/>
      <c r="E462" s="349"/>
      <c r="F462" s="349"/>
      <c r="G462" s="349"/>
      <c r="H462" s="349"/>
      <c r="I462" s="350"/>
      <c r="J462" s="341">
        <f t="shared" si="26"/>
        <v>0</v>
      </c>
      <c r="K462" s="144"/>
    </row>
    <row r="463" spans="1:11">
      <c r="A463" s="144"/>
      <c r="B463" s="348"/>
      <c r="C463" s="349"/>
      <c r="D463" s="349"/>
      <c r="E463" s="349"/>
      <c r="F463" s="349"/>
      <c r="G463" s="349"/>
      <c r="H463" s="349"/>
      <c r="I463" s="350"/>
      <c r="J463" s="341">
        <f t="shared" si="26"/>
        <v>0</v>
      </c>
      <c r="K463" s="144"/>
    </row>
    <row r="464" spans="1:11">
      <c r="A464" s="144"/>
      <c r="B464" s="348"/>
      <c r="C464" s="349"/>
      <c r="D464" s="349"/>
      <c r="E464" s="349"/>
      <c r="F464" s="349"/>
      <c r="G464" s="349"/>
      <c r="H464" s="349"/>
      <c r="I464" s="350"/>
      <c r="J464" s="341">
        <f t="shared" si="26"/>
        <v>0</v>
      </c>
      <c r="K464" s="144"/>
    </row>
    <row r="465" spans="1:11">
      <c r="A465" s="144"/>
      <c r="B465" s="333"/>
      <c r="C465" s="334"/>
      <c r="D465" s="334"/>
      <c r="E465" s="334"/>
      <c r="F465" s="334"/>
      <c r="G465" s="334"/>
      <c r="H465" s="334"/>
      <c r="I465" s="335"/>
      <c r="J465" s="341">
        <f t="shared" si="26"/>
        <v>0</v>
      </c>
      <c r="K465" s="144"/>
    </row>
    <row r="466" spans="1:11">
      <c r="A466" s="144"/>
      <c r="B466" s="333"/>
      <c r="C466" s="334"/>
      <c r="D466" s="334"/>
      <c r="E466" s="334"/>
      <c r="F466" s="334"/>
      <c r="G466" s="334"/>
      <c r="H466" s="334"/>
      <c r="I466" s="335"/>
      <c r="J466" s="341">
        <f t="shared" si="26"/>
        <v>0</v>
      </c>
      <c r="K466" s="144"/>
    </row>
    <row r="467" spans="1:11">
      <c r="A467" s="144"/>
      <c r="B467" s="333"/>
      <c r="C467" s="334"/>
      <c r="D467" s="334"/>
      <c r="E467" s="334"/>
      <c r="F467" s="334"/>
      <c r="G467" s="334"/>
      <c r="H467" s="334"/>
      <c r="I467" s="335"/>
      <c r="J467" s="341">
        <f t="shared" si="26"/>
        <v>0</v>
      </c>
      <c r="K467" s="144"/>
    </row>
    <row r="468" spans="1:11" ht="16" thickBot="1">
      <c r="A468" s="144"/>
      <c r="B468" s="333"/>
      <c r="C468" s="334"/>
      <c r="D468" s="334"/>
      <c r="E468" s="334"/>
      <c r="F468" s="334"/>
      <c r="G468" s="334"/>
      <c r="H468" s="334"/>
      <c r="I468" s="335"/>
      <c r="J468" s="342">
        <f t="shared" si="26"/>
        <v>0</v>
      </c>
      <c r="K468" s="144"/>
    </row>
    <row r="469" spans="1:11" ht="16" thickBot="1">
      <c r="A469" s="144"/>
      <c r="B469" s="336"/>
      <c r="C469" s="337"/>
      <c r="D469" s="337"/>
      <c r="E469" s="337"/>
      <c r="F469" s="337"/>
      <c r="G469" s="337"/>
      <c r="H469" s="337"/>
      <c r="I469" s="338"/>
      <c r="J469" s="343">
        <f>SUM(J457:J468)</f>
        <v>0</v>
      </c>
      <c r="K469" s="144"/>
    </row>
    <row r="470" spans="1:11">
      <c r="A470" s="144"/>
      <c r="B470" s="144"/>
      <c r="C470" s="144"/>
      <c r="D470" s="144"/>
      <c r="E470" s="144"/>
      <c r="F470" s="144"/>
      <c r="G470" s="144"/>
      <c r="H470" s="144"/>
      <c r="I470" s="144"/>
      <c r="J470" s="339"/>
      <c r="K470" s="144"/>
    </row>
    <row r="471" spans="1:11" hidden="1">
      <c r="B471" s="144"/>
      <c r="C471" s="144"/>
      <c r="D471" s="144"/>
      <c r="E471" s="144"/>
      <c r="F471" s="144"/>
      <c r="G471" s="144"/>
      <c r="H471" s="144"/>
      <c r="I471" s="144"/>
    </row>
  </sheetData>
  <mergeCells count="227">
    <mergeCell ref="B455:C455"/>
    <mergeCell ref="D455:G455"/>
    <mergeCell ref="B456:B457"/>
    <mergeCell ref="C456:E456"/>
    <mergeCell ref="F456:H456"/>
    <mergeCell ref="I456:I457"/>
    <mergeCell ref="B437:C437"/>
    <mergeCell ref="D437:G437"/>
    <mergeCell ref="B438:C438"/>
    <mergeCell ref="D438:G438"/>
    <mergeCell ref="B439:B440"/>
    <mergeCell ref="C439:E439"/>
    <mergeCell ref="F439:H439"/>
    <mergeCell ref="I439:I440"/>
    <mergeCell ref="B420:C420"/>
    <mergeCell ref="D420:G420"/>
    <mergeCell ref="B421:C421"/>
    <mergeCell ref="D421:G421"/>
    <mergeCell ref="B422:B423"/>
    <mergeCell ref="C422:E422"/>
    <mergeCell ref="F422:H422"/>
    <mergeCell ref="I422:I423"/>
    <mergeCell ref="B454:C454"/>
    <mergeCell ref="D454:G454"/>
    <mergeCell ref="B403:C403"/>
    <mergeCell ref="D403:G403"/>
    <mergeCell ref="B404:C404"/>
    <mergeCell ref="D404:G404"/>
    <mergeCell ref="B405:B406"/>
    <mergeCell ref="C405:E405"/>
    <mergeCell ref="F405:H405"/>
    <mergeCell ref="I371:I372"/>
    <mergeCell ref="B386:C386"/>
    <mergeCell ref="D386:G386"/>
    <mergeCell ref="B387:C387"/>
    <mergeCell ref="D387:G387"/>
    <mergeCell ref="B388:B389"/>
    <mergeCell ref="C388:E388"/>
    <mergeCell ref="F388:H388"/>
    <mergeCell ref="I388:I389"/>
    <mergeCell ref="I405:I406"/>
    <mergeCell ref="B369:C369"/>
    <mergeCell ref="D369:G369"/>
    <mergeCell ref="B370:C370"/>
    <mergeCell ref="D370:G370"/>
    <mergeCell ref="B371:B372"/>
    <mergeCell ref="C371:E371"/>
    <mergeCell ref="F371:H371"/>
    <mergeCell ref="I337:I338"/>
    <mergeCell ref="B352:C352"/>
    <mergeCell ref="D352:G352"/>
    <mergeCell ref="B353:C353"/>
    <mergeCell ref="D353:G353"/>
    <mergeCell ref="B354:B355"/>
    <mergeCell ref="C354:E354"/>
    <mergeCell ref="F354:H354"/>
    <mergeCell ref="I354:I355"/>
    <mergeCell ref="B335:C335"/>
    <mergeCell ref="D335:G335"/>
    <mergeCell ref="B336:C336"/>
    <mergeCell ref="D336:G336"/>
    <mergeCell ref="B337:B338"/>
    <mergeCell ref="C337:E337"/>
    <mergeCell ref="F337:H337"/>
    <mergeCell ref="B319:C319"/>
    <mergeCell ref="D319:G319"/>
    <mergeCell ref="B320:B321"/>
    <mergeCell ref="C320:E320"/>
    <mergeCell ref="F320:H320"/>
    <mergeCell ref="I320:I321"/>
    <mergeCell ref="B302:C302"/>
    <mergeCell ref="D302:G302"/>
    <mergeCell ref="B303:B304"/>
    <mergeCell ref="C303:E303"/>
    <mergeCell ref="F303:H303"/>
    <mergeCell ref="I303:I304"/>
    <mergeCell ref="B284:C284"/>
    <mergeCell ref="D284:G284"/>
    <mergeCell ref="B286:B287"/>
    <mergeCell ref="C286:E286"/>
    <mergeCell ref="F286:H286"/>
    <mergeCell ref="I286:I287"/>
    <mergeCell ref="B318:C318"/>
    <mergeCell ref="D318:G318"/>
    <mergeCell ref="B301:C301"/>
    <mergeCell ref="D301:G301"/>
    <mergeCell ref="B285:C285"/>
    <mergeCell ref="D285:G285"/>
    <mergeCell ref="I252:I253"/>
    <mergeCell ref="B267:C267"/>
    <mergeCell ref="D267:G267"/>
    <mergeCell ref="B268:C268"/>
    <mergeCell ref="D268:G268"/>
    <mergeCell ref="B269:B270"/>
    <mergeCell ref="C269:E269"/>
    <mergeCell ref="F269:H269"/>
    <mergeCell ref="I269:I270"/>
    <mergeCell ref="B250:C250"/>
    <mergeCell ref="D250:G250"/>
    <mergeCell ref="B251:C251"/>
    <mergeCell ref="D251:G251"/>
    <mergeCell ref="B252:B253"/>
    <mergeCell ref="C252:E252"/>
    <mergeCell ref="F252:H252"/>
    <mergeCell ref="I201:I202"/>
    <mergeCell ref="B216:C216"/>
    <mergeCell ref="D216:G216"/>
    <mergeCell ref="B217:C217"/>
    <mergeCell ref="D217:G217"/>
    <mergeCell ref="B218:B219"/>
    <mergeCell ref="C218:E218"/>
    <mergeCell ref="F218:H218"/>
    <mergeCell ref="I218:I219"/>
    <mergeCell ref="I235:I236"/>
    <mergeCell ref="B233:C233"/>
    <mergeCell ref="D233:G233"/>
    <mergeCell ref="B234:C234"/>
    <mergeCell ref="D234:G234"/>
    <mergeCell ref="B235:B236"/>
    <mergeCell ref="C235:E235"/>
    <mergeCell ref="F235:H235"/>
    <mergeCell ref="B199:C199"/>
    <mergeCell ref="D199:G199"/>
    <mergeCell ref="B200:C200"/>
    <mergeCell ref="D200:G200"/>
    <mergeCell ref="B201:B202"/>
    <mergeCell ref="C201:E201"/>
    <mergeCell ref="F201:H201"/>
    <mergeCell ref="I167:I168"/>
    <mergeCell ref="B183:C183"/>
    <mergeCell ref="D183:G183"/>
    <mergeCell ref="B184:B185"/>
    <mergeCell ref="C184:E184"/>
    <mergeCell ref="F184:H184"/>
    <mergeCell ref="I184:I185"/>
    <mergeCell ref="B182:C182"/>
    <mergeCell ref="D182:G182"/>
    <mergeCell ref="D165:G165"/>
    <mergeCell ref="B166:C166"/>
    <mergeCell ref="D166:G166"/>
    <mergeCell ref="B167:B168"/>
    <mergeCell ref="C167:E167"/>
    <mergeCell ref="F167:H167"/>
    <mergeCell ref="B149:C149"/>
    <mergeCell ref="D149:G149"/>
    <mergeCell ref="B150:B151"/>
    <mergeCell ref="C150:E150"/>
    <mergeCell ref="F150:H150"/>
    <mergeCell ref="B165:C165"/>
    <mergeCell ref="I150:I151"/>
    <mergeCell ref="B133:B134"/>
    <mergeCell ref="C133:E133"/>
    <mergeCell ref="F133:H133"/>
    <mergeCell ref="I133:I134"/>
    <mergeCell ref="B148:C148"/>
    <mergeCell ref="D148:G148"/>
    <mergeCell ref="I99:I100"/>
    <mergeCell ref="B114:C114"/>
    <mergeCell ref="D114:G114"/>
    <mergeCell ref="B115:C115"/>
    <mergeCell ref="D115:G115"/>
    <mergeCell ref="B116:B117"/>
    <mergeCell ref="C116:E116"/>
    <mergeCell ref="F116:H116"/>
    <mergeCell ref="I116:I117"/>
    <mergeCell ref="B131:C131"/>
    <mergeCell ref="D131:G131"/>
    <mergeCell ref="B132:C132"/>
    <mergeCell ref="D132:G132"/>
    <mergeCell ref="B97:C97"/>
    <mergeCell ref="D97:G97"/>
    <mergeCell ref="B98:C98"/>
    <mergeCell ref="D98:G98"/>
    <mergeCell ref="B99:B100"/>
    <mergeCell ref="C99:E99"/>
    <mergeCell ref="F99:H99"/>
    <mergeCell ref="B81:C81"/>
    <mergeCell ref="D81:G81"/>
    <mergeCell ref="B82:B83"/>
    <mergeCell ref="C82:E82"/>
    <mergeCell ref="F82:H82"/>
    <mergeCell ref="I82:I83"/>
    <mergeCell ref="I48:I49"/>
    <mergeCell ref="B11:I11"/>
    <mergeCell ref="B63:C63"/>
    <mergeCell ref="D63:G63"/>
    <mergeCell ref="B65:B66"/>
    <mergeCell ref="C65:E65"/>
    <mergeCell ref="F65:H65"/>
    <mergeCell ref="I65:I66"/>
    <mergeCell ref="B46:C46"/>
    <mergeCell ref="D46:G46"/>
    <mergeCell ref="B47:C47"/>
    <mergeCell ref="D47:G47"/>
    <mergeCell ref="B48:B49"/>
    <mergeCell ref="C48:E48"/>
    <mergeCell ref="F48:H48"/>
    <mergeCell ref="B80:C80"/>
    <mergeCell ref="D80:G80"/>
    <mergeCell ref="B64:C64"/>
    <mergeCell ref="D64:G64"/>
    <mergeCell ref="I31:I32"/>
    <mergeCell ref="B29:C29"/>
    <mergeCell ref="D29:G29"/>
    <mergeCell ref="B30:C30"/>
    <mergeCell ref="D30:G30"/>
    <mergeCell ref="B31:B32"/>
    <mergeCell ref="C31:E31"/>
    <mergeCell ref="F31:H31"/>
    <mergeCell ref="B12:C12"/>
    <mergeCell ref="B13:C13"/>
    <mergeCell ref="D12:G12"/>
    <mergeCell ref="D13:G13"/>
    <mergeCell ref="B14:B15"/>
    <mergeCell ref="C14:E14"/>
    <mergeCell ref="F14:H14"/>
    <mergeCell ref="I14:I15"/>
    <mergeCell ref="A7:J7"/>
    <mergeCell ref="A8:J8"/>
    <mergeCell ref="A9:J9"/>
    <mergeCell ref="B4:I4"/>
    <mergeCell ref="A1:J1"/>
    <mergeCell ref="A2:J2"/>
    <mergeCell ref="A3:J3"/>
    <mergeCell ref="A5:J5"/>
    <mergeCell ref="A6:J6"/>
    <mergeCell ref="B10:I10"/>
  </mergeCells>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CC4C-DB46-419F-98F8-4A07206B4E88}">
  <sheetPr codeName="Tabelle12"/>
  <dimension ref="A3:BU263"/>
  <sheetViews>
    <sheetView topLeftCell="L1" workbookViewId="0">
      <selection activeCell="BT275" sqref="BT275"/>
    </sheetView>
  </sheetViews>
  <sheetFormatPr baseColWidth="10" defaultColWidth="11.33203125" defaultRowHeight="15"/>
  <cols>
    <col min="2" max="2" width="30.33203125" customWidth="1"/>
    <col min="9" max="9" width="12.5" customWidth="1"/>
    <col min="15" max="15" width="20.5" customWidth="1"/>
    <col min="20" max="20" width="40.6640625" customWidth="1"/>
    <col min="24" max="24" width="15.1640625" customWidth="1"/>
    <col min="29" max="29" width="18.5" customWidth="1"/>
    <col min="34" max="34" width="22.6640625" customWidth="1"/>
    <col min="40" max="40" width="19.1640625" customWidth="1"/>
    <col min="55" max="55" width="25.5" customWidth="1"/>
    <col min="59" max="59" width="20.6640625" customWidth="1"/>
    <col min="60" max="60" width="16.6640625" customWidth="1"/>
    <col min="62" max="62" width="17.6640625" customWidth="1"/>
    <col min="64" max="64" width="19" customWidth="1"/>
    <col min="68" max="68" width="21" customWidth="1"/>
    <col min="70" max="70" width="53.6640625" customWidth="1"/>
  </cols>
  <sheetData>
    <row r="3" spans="1:73" ht="16" thickBot="1">
      <c r="B3" s="1" t="s">
        <v>77</v>
      </c>
      <c r="J3" s="1"/>
      <c r="K3" s="1" t="s">
        <v>547</v>
      </c>
      <c r="O3" s="1" t="s">
        <v>52</v>
      </c>
      <c r="T3" s="1" t="s">
        <v>70</v>
      </c>
      <c r="Z3" s="1" t="s">
        <v>548</v>
      </c>
      <c r="AH3" s="1" t="s">
        <v>549</v>
      </c>
      <c r="AN3" s="1" t="s">
        <v>550</v>
      </c>
      <c r="AU3" t="s">
        <v>551</v>
      </c>
      <c r="BD3" s="1" t="s">
        <v>434</v>
      </c>
      <c r="BL3" s="1" t="s">
        <v>552</v>
      </c>
      <c r="BO3" s="1" t="s">
        <v>553</v>
      </c>
      <c r="BR3" t="s">
        <v>554</v>
      </c>
    </row>
    <row r="4" spans="1:73" ht="16" thickBot="1">
      <c r="AN4" s="308"/>
      <c r="AO4" s="479" t="s">
        <v>555</v>
      </c>
      <c r="AP4" s="480"/>
      <c r="AQ4" s="480"/>
      <c r="AR4" s="480"/>
      <c r="AW4" s="84"/>
      <c r="AX4" s="85" t="s">
        <v>556</v>
      </c>
      <c r="AY4" s="86"/>
      <c r="AZ4" s="86"/>
      <c r="BA4" s="87"/>
    </row>
    <row r="5" spans="1:73" ht="75" thickBot="1">
      <c r="A5" s="169" t="s">
        <v>557</v>
      </c>
      <c r="B5" s="44" t="s">
        <v>558</v>
      </c>
      <c r="C5" s="2" t="s">
        <v>559</v>
      </c>
      <c r="D5" s="2" t="s">
        <v>560</v>
      </c>
      <c r="E5" s="2" t="s">
        <v>561</v>
      </c>
      <c r="F5" s="2" t="s">
        <v>562</v>
      </c>
      <c r="G5" s="2" t="s">
        <v>563</v>
      </c>
      <c r="H5" s="2" t="s">
        <v>564</v>
      </c>
      <c r="I5" s="48" t="s">
        <v>84</v>
      </c>
      <c r="J5" s="196" t="s">
        <v>565</v>
      </c>
      <c r="K5" s="45" t="s">
        <v>558</v>
      </c>
      <c r="L5" s="3" t="s">
        <v>566</v>
      </c>
      <c r="M5" s="46" t="s">
        <v>84</v>
      </c>
      <c r="O5" s="35" t="s">
        <v>52</v>
      </c>
      <c r="P5" s="36" t="s">
        <v>558</v>
      </c>
      <c r="Q5" s="37" t="s">
        <v>567</v>
      </c>
      <c r="R5" s="38" t="s">
        <v>568</v>
      </c>
      <c r="T5" s="67" t="s">
        <v>52</v>
      </c>
      <c r="U5" s="37" t="s">
        <v>569</v>
      </c>
      <c r="V5" s="37" t="s">
        <v>570</v>
      </c>
      <c r="W5" s="37" t="s">
        <v>564</v>
      </c>
      <c r="X5" s="46" t="s">
        <v>50</v>
      </c>
      <c r="Z5" s="517" t="s">
        <v>571</v>
      </c>
      <c r="AA5" s="518"/>
      <c r="AB5" s="519"/>
      <c r="AC5" s="68" t="s">
        <v>572</v>
      </c>
      <c r="AD5" s="69" t="s">
        <v>573</v>
      </c>
      <c r="AE5" s="512" t="s">
        <v>574</v>
      </c>
      <c r="AF5" s="513"/>
      <c r="AH5" s="49" t="s">
        <v>52</v>
      </c>
      <c r="AI5" s="37" t="s">
        <v>569</v>
      </c>
      <c r="AJ5" s="37" t="s">
        <v>570</v>
      </c>
      <c r="AK5" s="37" t="s">
        <v>564</v>
      </c>
      <c r="AL5" s="4" t="s">
        <v>50</v>
      </c>
      <c r="AN5" s="309" t="s">
        <v>575</v>
      </c>
      <c r="AO5" s="310" t="s">
        <v>576</v>
      </c>
      <c r="AP5" s="310" t="s">
        <v>577</v>
      </c>
      <c r="AQ5" s="310" t="s">
        <v>578</v>
      </c>
      <c r="AR5" s="318" t="s">
        <v>579</v>
      </c>
      <c r="AS5" s="322"/>
      <c r="AU5" s="88" t="s">
        <v>580</v>
      </c>
      <c r="AV5" s="47" t="s">
        <v>581</v>
      </c>
      <c r="AX5" s="89" t="s">
        <v>582</v>
      </c>
      <c r="AY5" s="90" t="s">
        <v>583</v>
      </c>
      <c r="AZ5" s="484" t="s">
        <v>584</v>
      </c>
      <c r="BA5" s="485"/>
      <c r="BB5" s="486"/>
      <c r="BD5" s="464" t="s">
        <v>435</v>
      </c>
      <c r="BE5" s="465"/>
      <c r="BF5" s="465"/>
      <c r="BG5" s="466"/>
      <c r="BI5" s="101" t="s">
        <v>580</v>
      </c>
      <c r="BJ5" s="102" t="s">
        <v>585</v>
      </c>
      <c r="BL5" s="162" t="s">
        <v>586</v>
      </c>
      <c r="BM5" s="163" t="s">
        <v>587</v>
      </c>
      <c r="BO5" s="168" t="s">
        <v>588</v>
      </c>
      <c r="BP5" s="168" t="s">
        <v>589</v>
      </c>
    </row>
    <row r="6" spans="1:73" ht="16" thickBot="1">
      <c r="A6" s="177">
        <v>0.84</v>
      </c>
      <c r="B6" s="5" t="s">
        <v>590</v>
      </c>
      <c r="C6" s="6">
        <v>53.06</v>
      </c>
      <c r="D6" s="7">
        <v>1</v>
      </c>
      <c r="E6" s="8">
        <v>0.1</v>
      </c>
      <c r="F6" s="9">
        <v>5.4440000000000002E-2</v>
      </c>
      <c r="G6" s="9">
        <v>1.0300000000000001E-3</v>
      </c>
      <c r="H6" s="9">
        <v>1E-4</v>
      </c>
      <c r="I6" s="186" t="s">
        <v>591</v>
      </c>
      <c r="J6" s="195">
        <v>2.9309999999999999E-2</v>
      </c>
      <c r="K6" s="189" t="s">
        <v>592</v>
      </c>
      <c r="L6" s="12">
        <v>8.7799999999999994</v>
      </c>
      <c r="M6" s="10" t="s">
        <v>593</v>
      </c>
      <c r="O6" s="503" t="s">
        <v>594</v>
      </c>
      <c r="P6" s="11" t="s">
        <v>595</v>
      </c>
      <c r="Q6" s="39">
        <v>1.0433333333333334E-2</v>
      </c>
      <c r="R6" s="39">
        <v>7.1333333333333327E-3</v>
      </c>
      <c r="T6" s="50" t="s">
        <v>596</v>
      </c>
      <c r="U6" s="51">
        <v>0.313</v>
      </c>
      <c r="V6" s="51">
        <v>8.0000000000000002E-3</v>
      </c>
      <c r="W6" s="51">
        <v>7.0000000000000001E-3</v>
      </c>
      <c r="X6" s="52" t="s">
        <v>597</v>
      </c>
      <c r="Z6" s="514"/>
      <c r="AA6" s="515"/>
      <c r="AB6" s="516"/>
      <c r="AC6" s="70" t="s">
        <v>598</v>
      </c>
      <c r="AD6" s="71" t="s">
        <v>599</v>
      </c>
      <c r="AE6" s="507" t="s">
        <v>600</v>
      </c>
      <c r="AF6" s="508"/>
      <c r="AH6" s="5" t="s">
        <v>601</v>
      </c>
      <c r="AI6" s="51">
        <v>1.387</v>
      </c>
      <c r="AJ6" s="51">
        <v>1.2999999999999999E-2</v>
      </c>
      <c r="AK6" s="51">
        <v>3.7999999999999999E-2</v>
      </c>
      <c r="AL6" s="52" t="s">
        <v>597</v>
      </c>
      <c r="AN6" s="311" t="s">
        <v>602</v>
      </c>
      <c r="AO6" s="81">
        <v>0.06</v>
      </c>
      <c r="AP6" s="81">
        <v>0.02</v>
      </c>
      <c r="AQ6" s="81">
        <v>0.01</v>
      </c>
      <c r="AR6" s="319" t="s">
        <v>603</v>
      </c>
      <c r="AS6" s="321"/>
      <c r="AU6" s="91" t="s">
        <v>604</v>
      </c>
      <c r="AV6" s="92">
        <v>1</v>
      </c>
      <c r="AX6" s="50" t="s">
        <v>605</v>
      </c>
      <c r="AY6" s="93">
        <v>16</v>
      </c>
      <c r="AZ6" s="481" t="s">
        <v>606</v>
      </c>
      <c r="BA6" s="482"/>
      <c r="BB6" s="483"/>
      <c r="BD6" s="103" t="s">
        <v>607</v>
      </c>
      <c r="BE6" s="103" t="s">
        <v>608</v>
      </c>
      <c r="BF6" s="103" t="s">
        <v>609</v>
      </c>
      <c r="BG6" s="103" t="s">
        <v>50</v>
      </c>
      <c r="BI6" s="104" t="s">
        <v>610</v>
      </c>
      <c r="BJ6" s="105">
        <v>1</v>
      </c>
      <c r="BL6" s="164" t="s">
        <v>119</v>
      </c>
      <c r="BM6" s="165">
        <v>0.16900000000000001</v>
      </c>
    </row>
    <row r="7" spans="1:73" ht="16" thickBot="1">
      <c r="A7" s="170">
        <f>10.5/42</f>
        <v>0.25</v>
      </c>
      <c r="B7" s="13" t="s">
        <v>611</v>
      </c>
      <c r="C7" s="14">
        <v>73.959999999999994</v>
      </c>
      <c r="D7" s="15">
        <v>3</v>
      </c>
      <c r="E7" s="16">
        <v>0.6</v>
      </c>
      <c r="F7" s="17">
        <v>10.210000000000001</v>
      </c>
      <c r="G7" s="17">
        <v>0.41</v>
      </c>
      <c r="H7" s="17">
        <v>0.08</v>
      </c>
      <c r="I7" s="187" t="s">
        <v>593</v>
      </c>
      <c r="J7" s="197">
        <f>0.81*3.785</f>
        <v>3.0658500000000002</v>
      </c>
      <c r="K7" s="190" t="s">
        <v>595</v>
      </c>
      <c r="L7" s="19">
        <v>10.210000000000001</v>
      </c>
      <c r="M7" s="18" t="s">
        <v>593</v>
      </c>
      <c r="O7" s="504"/>
      <c r="P7" s="11" t="s">
        <v>592</v>
      </c>
      <c r="Q7" s="39">
        <v>1.6631932773109245E-2</v>
      </c>
      <c r="R7" s="39">
        <v>1.8202941176470588E-2</v>
      </c>
      <c r="T7" s="13" t="s">
        <v>612</v>
      </c>
      <c r="U7" s="53">
        <v>0.46700000000000003</v>
      </c>
      <c r="V7" s="53">
        <v>1.2999999999999999E-2</v>
      </c>
      <c r="W7" s="53">
        <v>1.2E-2</v>
      </c>
      <c r="X7" s="24" t="s">
        <v>597</v>
      </c>
      <c r="Z7" s="509" t="s">
        <v>613</v>
      </c>
      <c r="AA7" s="510"/>
      <c r="AB7" s="511"/>
      <c r="AC7" s="72">
        <v>1067.7</v>
      </c>
      <c r="AD7" s="73">
        <v>9.0999999999999998E-2</v>
      </c>
      <c r="AE7" s="520">
        <v>1.2E-2</v>
      </c>
      <c r="AF7" s="521"/>
      <c r="AH7" s="78" t="s">
        <v>596</v>
      </c>
      <c r="AI7" s="53">
        <v>0.313</v>
      </c>
      <c r="AJ7" s="53">
        <v>8.0000000000000002E-3</v>
      </c>
      <c r="AK7" s="53">
        <v>7.0000000000000001E-3</v>
      </c>
      <c r="AL7" s="58" t="s">
        <v>597</v>
      </c>
      <c r="AN7" s="312" t="s">
        <v>614</v>
      </c>
      <c r="AO7" s="82">
        <v>0.04</v>
      </c>
      <c r="AP7" s="82">
        <v>0.02</v>
      </c>
      <c r="AQ7" s="82">
        <v>0.01</v>
      </c>
      <c r="AR7" s="320" t="s">
        <v>603</v>
      </c>
      <c r="AS7" s="321"/>
      <c r="AU7" s="94" t="s">
        <v>615</v>
      </c>
      <c r="AV7" s="95">
        <v>25</v>
      </c>
      <c r="AX7" s="13" t="s">
        <v>616</v>
      </c>
      <c r="AY7" s="96">
        <v>14</v>
      </c>
      <c r="AZ7" s="470" t="s">
        <v>617</v>
      </c>
      <c r="BA7" s="471"/>
      <c r="BB7" s="472"/>
      <c r="BD7" s="106" t="s">
        <v>439</v>
      </c>
      <c r="BE7" s="106" t="s">
        <v>440</v>
      </c>
      <c r="BF7" s="107">
        <v>453.6</v>
      </c>
      <c r="BG7" s="108" t="s">
        <v>441</v>
      </c>
      <c r="BI7" s="109" t="s">
        <v>615</v>
      </c>
      <c r="BJ7" s="110">
        <v>25</v>
      </c>
      <c r="BL7" s="164" t="s">
        <v>133</v>
      </c>
      <c r="BM7" s="165">
        <v>9.5100000000000004E-2</v>
      </c>
      <c r="BO7" t="s">
        <v>590</v>
      </c>
      <c r="BP7">
        <v>0.84</v>
      </c>
      <c r="BR7" t="s">
        <v>117</v>
      </c>
      <c r="BS7" t="s">
        <v>618</v>
      </c>
      <c r="BU7" s="372" t="s">
        <v>619</v>
      </c>
    </row>
    <row r="8" spans="1:73" ht="16" thickBot="1">
      <c r="A8" s="170">
        <f>1.7/42</f>
        <v>4.0476190476190478E-2</v>
      </c>
      <c r="B8" s="13" t="s">
        <v>620</v>
      </c>
      <c r="C8" s="16">
        <v>75.099999999999994</v>
      </c>
      <c r="D8" s="15">
        <v>3</v>
      </c>
      <c r="E8" s="16">
        <v>0.6</v>
      </c>
      <c r="F8" s="17">
        <v>11.27</v>
      </c>
      <c r="G8" s="17">
        <v>0.45</v>
      </c>
      <c r="H8" s="17">
        <v>0.09</v>
      </c>
      <c r="I8" s="187" t="s">
        <v>593</v>
      </c>
      <c r="J8" s="194">
        <f>0.9*3.785</f>
        <v>3.4065000000000003</v>
      </c>
      <c r="K8" s="190" t="s">
        <v>621</v>
      </c>
      <c r="L8" s="20">
        <v>4.1100000000000003</v>
      </c>
      <c r="M8" s="10" t="s">
        <v>593</v>
      </c>
      <c r="O8" s="504"/>
      <c r="P8" s="11" t="s">
        <v>621</v>
      </c>
      <c r="Q8" s="40">
        <v>1.4999999999999999E-2</v>
      </c>
      <c r="R8" s="40">
        <v>4.0000000000000001E-3</v>
      </c>
      <c r="T8" s="54" t="s">
        <v>622</v>
      </c>
      <c r="U8" s="55">
        <v>0.17799999999999999</v>
      </c>
      <c r="V8" s="55">
        <v>0.111</v>
      </c>
      <c r="W8" s="55">
        <v>1.9E-2</v>
      </c>
      <c r="X8" s="26" t="s">
        <v>597</v>
      </c>
      <c r="Z8" s="489" t="s">
        <v>623</v>
      </c>
      <c r="AA8" s="490"/>
      <c r="AB8" s="491"/>
      <c r="AC8" s="74">
        <v>485.2</v>
      </c>
      <c r="AD8" s="75">
        <v>2.5000000000000001E-2</v>
      </c>
      <c r="AE8" s="487">
        <v>4.0000000000000001E-3</v>
      </c>
      <c r="AF8" s="488"/>
      <c r="AH8" s="34" t="s">
        <v>612</v>
      </c>
      <c r="AI8" s="55">
        <v>0.46700000000000003</v>
      </c>
      <c r="AJ8" s="55">
        <v>1.2999999999999999E-2</v>
      </c>
      <c r="AK8" s="55">
        <v>1.2E-2</v>
      </c>
      <c r="AL8" s="26" t="s">
        <v>597</v>
      </c>
      <c r="AN8" s="312" t="s">
        <v>624</v>
      </c>
      <c r="AO8" s="82">
        <v>0.32</v>
      </c>
      <c r="AP8" s="82">
        <v>0.02</v>
      </c>
      <c r="AQ8" s="82">
        <v>0.01</v>
      </c>
      <c r="AR8" s="320" t="s">
        <v>603</v>
      </c>
      <c r="AS8" s="321"/>
      <c r="AU8" s="94" t="s">
        <v>625</v>
      </c>
      <c r="AV8" s="95">
        <v>298</v>
      </c>
      <c r="AX8" s="13" t="s">
        <v>626</v>
      </c>
      <c r="AY8" s="96">
        <v>19</v>
      </c>
      <c r="AZ8" s="470" t="s">
        <v>627</v>
      </c>
      <c r="BA8" s="471"/>
      <c r="BB8" s="472"/>
      <c r="BD8" s="106" t="s">
        <v>439</v>
      </c>
      <c r="BE8" s="106" t="s">
        <v>442</v>
      </c>
      <c r="BF8" s="107">
        <v>0.4536</v>
      </c>
      <c r="BG8" s="108" t="s">
        <v>443</v>
      </c>
      <c r="BI8" s="111" t="s">
        <v>625</v>
      </c>
      <c r="BJ8" s="112">
        <v>298</v>
      </c>
      <c r="BL8" s="164" t="s">
        <v>136</v>
      </c>
      <c r="BM8" s="165">
        <v>6.57</v>
      </c>
      <c r="BO8" t="s">
        <v>628</v>
      </c>
      <c r="BP8">
        <v>0.42</v>
      </c>
      <c r="BR8" t="s">
        <v>121</v>
      </c>
      <c r="BS8" t="s">
        <v>618</v>
      </c>
      <c r="BU8" s="372" t="s">
        <v>629</v>
      </c>
    </row>
    <row r="9" spans="1:73" ht="16" thickBot="1">
      <c r="A9" s="170">
        <f>4.1/42</f>
        <v>9.7619047619047605E-2</v>
      </c>
      <c r="B9" s="21" t="s">
        <v>630</v>
      </c>
      <c r="C9" s="16">
        <v>75.2</v>
      </c>
      <c r="D9" s="15">
        <v>3</v>
      </c>
      <c r="E9" s="16">
        <v>0.6</v>
      </c>
      <c r="F9" s="17">
        <v>10.15</v>
      </c>
      <c r="G9" s="17">
        <v>0.41</v>
      </c>
      <c r="H9" s="17">
        <v>0.08</v>
      </c>
      <c r="I9" s="187" t="s">
        <v>593</v>
      </c>
      <c r="J9" s="194">
        <f>0.78*3.785</f>
        <v>2.9523000000000001</v>
      </c>
      <c r="K9" s="191" t="s">
        <v>631</v>
      </c>
      <c r="L9" s="19">
        <v>8.31</v>
      </c>
      <c r="M9" s="18" t="s">
        <v>593</v>
      </c>
      <c r="O9" s="504"/>
      <c r="P9" s="11" t="s">
        <v>632</v>
      </c>
      <c r="Q9" s="40">
        <v>1.4999999999999999E-2</v>
      </c>
      <c r="R9" s="40">
        <v>4.0000000000000001E-3</v>
      </c>
      <c r="T9" s="56" t="s">
        <v>633</v>
      </c>
      <c r="U9" s="53">
        <v>0.113</v>
      </c>
      <c r="V9" s="57">
        <v>9.1999999999999998E-3</v>
      </c>
      <c r="W9" s="57">
        <v>2.5999999999999999E-3</v>
      </c>
      <c r="X9" s="58" t="s">
        <v>634</v>
      </c>
      <c r="Z9" s="489" t="s">
        <v>635</v>
      </c>
      <c r="AA9" s="490"/>
      <c r="AB9" s="491"/>
      <c r="AC9" s="74">
        <v>819.7</v>
      </c>
      <c r="AD9" s="75">
        <v>5.1999999999999998E-2</v>
      </c>
      <c r="AE9" s="487">
        <v>7.0000000000000001E-3</v>
      </c>
      <c r="AF9" s="488"/>
      <c r="AH9" s="5" t="s">
        <v>601</v>
      </c>
      <c r="AI9" s="51">
        <v>0.17</v>
      </c>
      <c r="AJ9" s="79">
        <v>1.6000000000000001E-3</v>
      </c>
      <c r="AK9" s="79">
        <v>4.7000000000000002E-3</v>
      </c>
      <c r="AL9" s="52" t="s">
        <v>636</v>
      </c>
      <c r="AN9" s="312" t="s">
        <v>637</v>
      </c>
      <c r="AO9" s="82">
        <v>0.18</v>
      </c>
      <c r="AP9" s="82">
        <v>0.02</v>
      </c>
      <c r="AQ9" s="82">
        <v>0.01</v>
      </c>
      <c r="AR9" s="320" t="s">
        <v>603</v>
      </c>
      <c r="AS9" s="321"/>
      <c r="AU9" s="94" t="s">
        <v>638</v>
      </c>
      <c r="AV9" s="95">
        <v>14800</v>
      </c>
      <c r="AX9" s="13" t="s">
        <v>639</v>
      </c>
      <c r="AY9" s="96">
        <v>2100</v>
      </c>
      <c r="AZ9" s="470" t="s">
        <v>640</v>
      </c>
      <c r="BA9" s="471"/>
      <c r="BB9" s="472"/>
      <c r="BD9" s="106" t="s">
        <v>439</v>
      </c>
      <c r="BE9" s="108" t="s">
        <v>419</v>
      </c>
      <c r="BF9" s="107">
        <v>4.5360000000000002E-4</v>
      </c>
      <c r="BG9" s="108" t="s">
        <v>444</v>
      </c>
      <c r="BL9" s="164" t="s">
        <v>139</v>
      </c>
      <c r="BM9" s="165">
        <v>1</v>
      </c>
      <c r="BO9" t="s">
        <v>641</v>
      </c>
      <c r="BP9">
        <v>0.22</v>
      </c>
      <c r="BR9" t="s">
        <v>125</v>
      </c>
      <c r="BS9" t="s">
        <v>618</v>
      </c>
      <c r="BU9" s="372" t="s">
        <v>642</v>
      </c>
    </row>
    <row r="10" spans="1:73">
      <c r="A10" s="170">
        <f>1.5/42</f>
        <v>3.5714285714285712E-2</v>
      </c>
      <c r="B10" s="13" t="s">
        <v>643</v>
      </c>
      <c r="C10" s="14">
        <v>61.71</v>
      </c>
      <c r="D10" s="15">
        <v>3</v>
      </c>
      <c r="E10" s="16">
        <v>0.6</v>
      </c>
      <c r="F10" s="17">
        <v>5.68</v>
      </c>
      <c r="G10" s="17">
        <v>0.28000000000000003</v>
      </c>
      <c r="H10" s="17">
        <v>0.06</v>
      </c>
      <c r="I10" s="187" t="s">
        <v>593</v>
      </c>
      <c r="J10" s="194">
        <f>0.5*3.785</f>
        <v>1.8925000000000001</v>
      </c>
      <c r="K10" s="192" t="s">
        <v>644</v>
      </c>
      <c r="L10" s="19">
        <v>9.75</v>
      </c>
      <c r="M10" s="10" t="s">
        <v>593</v>
      </c>
      <c r="O10" s="504"/>
      <c r="P10" s="11" t="s">
        <v>645</v>
      </c>
      <c r="Q10" s="40">
        <v>0.14599999999999999</v>
      </c>
      <c r="R10" s="40">
        <v>4.0000000000000001E-3</v>
      </c>
      <c r="T10" s="59" t="s">
        <v>646</v>
      </c>
      <c r="U10" s="60">
        <v>0.13500000000000001</v>
      </c>
      <c r="V10" s="61">
        <v>1.09E-2</v>
      </c>
      <c r="W10" s="61">
        <v>2.7000000000000001E-3</v>
      </c>
      <c r="X10" s="24" t="s">
        <v>634</v>
      </c>
      <c r="Z10" s="489" t="s">
        <v>647</v>
      </c>
      <c r="AA10" s="490"/>
      <c r="AB10" s="491"/>
      <c r="AC10" s="74">
        <v>531.70000000000005</v>
      </c>
      <c r="AD10" s="75">
        <v>3.1E-2</v>
      </c>
      <c r="AE10" s="487">
        <v>4.0000000000000001E-3</v>
      </c>
      <c r="AF10" s="488"/>
      <c r="AH10" s="21" t="s">
        <v>648</v>
      </c>
      <c r="AI10" s="53">
        <v>2.1000000000000001E-2</v>
      </c>
      <c r="AJ10" s="57">
        <v>1.6000000000000001E-3</v>
      </c>
      <c r="AK10" s="57">
        <v>5.0000000000000001E-4</v>
      </c>
      <c r="AL10" s="24" t="s">
        <v>636</v>
      </c>
      <c r="AN10" s="312" t="s">
        <v>649</v>
      </c>
      <c r="AO10" s="82">
        <v>0.05</v>
      </c>
      <c r="AP10" s="82">
        <v>0.02</v>
      </c>
      <c r="AQ10" s="82">
        <v>0.01</v>
      </c>
      <c r="AR10" s="320" t="s">
        <v>603</v>
      </c>
      <c r="AS10" s="321"/>
      <c r="AU10" s="94" t="s">
        <v>650</v>
      </c>
      <c r="AV10" s="95">
        <v>675</v>
      </c>
      <c r="AX10" s="13" t="s">
        <v>651</v>
      </c>
      <c r="AY10" s="96">
        <v>1330</v>
      </c>
      <c r="AZ10" s="470" t="s">
        <v>652</v>
      </c>
      <c r="BA10" s="471"/>
      <c r="BB10" s="472"/>
      <c r="BD10" s="113" t="s">
        <v>442</v>
      </c>
      <c r="BE10" s="106" t="s">
        <v>439</v>
      </c>
      <c r="BF10" s="114">
        <v>2.2050000000000001</v>
      </c>
      <c r="BG10" s="108" t="s">
        <v>445</v>
      </c>
      <c r="BI10" s="1"/>
      <c r="BL10" s="164" t="s">
        <v>157</v>
      </c>
      <c r="BM10" s="165">
        <v>3.3730000000000002</v>
      </c>
      <c r="BO10" t="s">
        <v>653</v>
      </c>
      <c r="BP10">
        <v>0.22</v>
      </c>
      <c r="BR10" t="s">
        <v>129</v>
      </c>
      <c r="BS10" t="s">
        <v>618</v>
      </c>
      <c r="BU10" s="372" t="s">
        <v>654</v>
      </c>
    </row>
    <row r="11" spans="1:73" ht="16" thickBot="1">
      <c r="A11" s="176">
        <v>0.42</v>
      </c>
      <c r="B11" s="21" t="s">
        <v>628</v>
      </c>
      <c r="C11" s="14">
        <v>103.69</v>
      </c>
      <c r="D11" s="14">
        <v>11</v>
      </c>
      <c r="E11" s="14">
        <v>1.6</v>
      </c>
      <c r="F11" s="22">
        <v>2602</v>
      </c>
      <c r="G11" s="23">
        <v>276</v>
      </c>
      <c r="H11" s="23">
        <v>40</v>
      </c>
      <c r="I11" s="187" t="s">
        <v>655</v>
      </c>
      <c r="J11" s="194">
        <v>1102</v>
      </c>
      <c r="K11" s="190" t="s">
        <v>656</v>
      </c>
      <c r="L11" s="14">
        <v>5.68</v>
      </c>
      <c r="M11" s="18" t="s">
        <v>593</v>
      </c>
      <c r="O11" s="504"/>
      <c r="P11" s="11" t="s">
        <v>656</v>
      </c>
      <c r="Q11" s="40">
        <v>1.4999999999999999E-2</v>
      </c>
      <c r="R11" s="40">
        <v>4.0000000000000001E-3</v>
      </c>
      <c r="T11" s="59" t="s">
        <v>657</v>
      </c>
      <c r="U11" s="60">
        <v>9.6000000000000002E-2</v>
      </c>
      <c r="V11" s="61">
        <v>8.0000000000000002E-3</v>
      </c>
      <c r="W11" s="61">
        <v>1.1000000000000001E-3</v>
      </c>
      <c r="X11" s="24" t="s">
        <v>634</v>
      </c>
      <c r="Z11" s="489" t="s">
        <v>658</v>
      </c>
      <c r="AA11" s="490"/>
      <c r="AB11" s="491"/>
      <c r="AC11" s="74">
        <v>813.6</v>
      </c>
      <c r="AD11" s="75">
        <v>5.3999999999999999E-2</v>
      </c>
      <c r="AE11" s="487">
        <v>8.0000000000000002E-3</v>
      </c>
      <c r="AF11" s="488"/>
      <c r="AH11" s="21" t="s">
        <v>659</v>
      </c>
      <c r="AI11" s="53">
        <v>4.3999999999999997E-2</v>
      </c>
      <c r="AJ11" s="57">
        <v>2.5399999999999999E-2</v>
      </c>
      <c r="AK11" s="57">
        <v>1.1000000000000001E-3</v>
      </c>
      <c r="AL11" s="24" t="s">
        <v>636</v>
      </c>
      <c r="AN11" s="312" t="s">
        <v>660</v>
      </c>
      <c r="AO11" s="82">
        <v>0.21</v>
      </c>
      <c r="AP11" s="82">
        <v>0.02</v>
      </c>
      <c r="AQ11" s="82">
        <v>2.8</v>
      </c>
      <c r="AR11" s="320" t="s">
        <v>603</v>
      </c>
      <c r="AS11" s="321"/>
      <c r="AU11" s="94" t="s">
        <v>661</v>
      </c>
      <c r="AV11" s="95">
        <v>92</v>
      </c>
      <c r="AX11" s="13" t="s">
        <v>662</v>
      </c>
      <c r="AY11" s="96">
        <v>3444</v>
      </c>
      <c r="AZ11" s="470" t="s">
        <v>663</v>
      </c>
      <c r="BA11" s="471"/>
      <c r="BB11" s="472"/>
      <c r="BD11" s="106" t="s">
        <v>440</v>
      </c>
      <c r="BE11" s="113" t="s">
        <v>446</v>
      </c>
      <c r="BF11" s="115">
        <f>BF12/1000</f>
        <v>1.1020000000000002E-6</v>
      </c>
      <c r="BG11" s="108" t="s">
        <v>447</v>
      </c>
      <c r="BL11" s="164" t="s">
        <v>126</v>
      </c>
      <c r="BM11" s="165">
        <v>0.192</v>
      </c>
      <c r="BR11" t="s">
        <v>107</v>
      </c>
      <c r="BS11" t="s">
        <v>618</v>
      </c>
      <c r="BU11" s="372" t="s">
        <v>664</v>
      </c>
    </row>
    <row r="12" spans="1:73" ht="16" thickBot="1">
      <c r="A12" s="171">
        <v>0</v>
      </c>
      <c r="B12" s="21" t="s">
        <v>665</v>
      </c>
      <c r="C12" s="16">
        <v>93.28</v>
      </c>
      <c r="D12" s="14">
        <v>11</v>
      </c>
      <c r="E12" s="14">
        <v>1.6</v>
      </c>
      <c r="F12" s="22">
        <v>2325</v>
      </c>
      <c r="G12" s="23">
        <v>274</v>
      </c>
      <c r="H12" s="23">
        <v>40</v>
      </c>
      <c r="I12" s="187" t="s">
        <v>655</v>
      </c>
      <c r="J12" s="194"/>
      <c r="K12" s="190" t="s">
        <v>632</v>
      </c>
      <c r="L12" s="19">
        <v>5.75</v>
      </c>
      <c r="M12" s="10" t="s">
        <v>593</v>
      </c>
      <c r="O12" s="505"/>
      <c r="P12" s="11" t="s">
        <v>666</v>
      </c>
      <c r="Q12" s="40">
        <v>0.03</v>
      </c>
      <c r="R12" s="40">
        <v>1.9E-2</v>
      </c>
      <c r="T12" s="59" t="s">
        <v>667</v>
      </c>
      <c r="U12" s="53">
        <v>5.5E-2</v>
      </c>
      <c r="V12" s="62">
        <v>6.3E-3</v>
      </c>
      <c r="W12" s="57">
        <v>1.1000000000000001E-3</v>
      </c>
      <c r="X12" s="24" t="s">
        <v>634</v>
      </c>
      <c r="Z12" s="489" t="s">
        <v>668</v>
      </c>
      <c r="AA12" s="490"/>
      <c r="AB12" s="491"/>
      <c r="AC12" s="74">
        <v>832.9</v>
      </c>
      <c r="AD12" s="75">
        <v>5.2999999999999999E-2</v>
      </c>
      <c r="AE12" s="487">
        <v>7.0000000000000001E-3</v>
      </c>
      <c r="AF12" s="488"/>
      <c r="AH12" s="34" t="s">
        <v>669</v>
      </c>
      <c r="AI12" s="55">
        <v>0.69799999999999995</v>
      </c>
      <c r="AJ12" s="80">
        <v>0</v>
      </c>
      <c r="AK12" s="66">
        <v>2.1499999999999998E-2</v>
      </c>
      <c r="AL12" s="26" t="s">
        <v>636</v>
      </c>
      <c r="AN12" s="312" t="s">
        <v>670</v>
      </c>
      <c r="AO12" s="82" t="s">
        <v>603</v>
      </c>
      <c r="AP12" s="82">
        <v>0.02</v>
      </c>
      <c r="AQ12" s="82">
        <v>2.8</v>
      </c>
      <c r="AR12" s="320" t="s">
        <v>603</v>
      </c>
      <c r="AS12" s="321"/>
      <c r="AU12" s="94" t="s">
        <v>671</v>
      </c>
      <c r="AV12" s="95">
        <v>3500</v>
      </c>
      <c r="AX12" s="13" t="s">
        <v>672</v>
      </c>
      <c r="AY12" s="96">
        <v>3922</v>
      </c>
      <c r="AZ12" s="470" t="s">
        <v>673</v>
      </c>
      <c r="BA12" s="471"/>
      <c r="BB12" s="472"/>
      <c r="BD12" s="106" t="s">
        <v>442</v>
      </c>
      <c r="BE12" s="113" t="s">
        <v>446</v>
      </c>
      <c r="BF12" s="115">
        <f>BF13/1000</f>
        <v>1.1020000000000001E-3</v>
      </c>
      <c r="BG12" s="116" t="s">
        <v>448</v>
      </c>
      <c r="BL12" s="164" t="s">
        <v>160</v>
      </c>
      <c r="BM12" s="165">
        <v>6.1899999999999997E-2</v>
      </c>
      <c r="BR12" t="s">
        <v>135</v>
      </c>
      <c r="BS12" t="s">
        <v>618</v>
      </c>
      <c r="BU12" s="372" t="s">
        <v>674</v>
      </c>
    </row>
    <row r="13" spans="1:73" ht="16" thickBot="1">
      <c r="A13" s="171">
        <v>0</v>
      </c>
      <c r="B13" s="21" t="s">
        <v>675</v>
      </c>
      <c r="C13" s="14">
        <v>97.17</v>
      </c>
      <c r="D13" s="14">
        <v>11</v>
      </c>
      <c r="E13" s="14">
        <v>1.6</v>
      </c>
      <c r="F13" s="22">
        <v>1676</v>
      </c>
      <c r="G13" s="23">
        <v>190</v>
      </c>
      <c r="H13" s="23">
        <v>28</v>
      </c>
      <c r="I13" s="187" t="s">
        <v>655</v>
      </c>
      <c r="J13" s="194"/>
      <c r="K13" s="190" t="s">
        <v>666</v>
      </c>
      <c r="L13" s="19">
        <v>9.4499999999999993</v>
      </c>
      <c r="M13" s="18" t="s">
        <v>593</v>
      </c>
      <c r="O13" s="506" t="s">
        <v>676</v>
      </c>
      <c r="P13" s="11" t="s">
        <v>595</v>
      </c>
      <c r="Q13" s="39">
        <v>1.0333333333333333E-2</v>
      </c>
      <c r="R13" s="39">
        <v>8.1666666666666658E-3</v>
      </c>
      <c r="T13" s="13" t="s">
        <v>677</v>
      </c>
      <c r="U13" s="63">
        <v>0.20699999999999999</v>
      </c>
      <c r="V13" s="57">
        <v>6.4000000000000003E-3</v>
      </c>
      <c r="W13" s="57">
        <v>6.6E-3</v>
      </c>
      <c r="X13" s="24" t="s">
        <v>634</v>
      </c>
      <c r="Z13" s="489" t="s">
        <v>678</v>
      </c>
      <c r="AA13" s="490"/>
      <c r="AB13" s="491"/>
      <c r="AC13" s="74">
        <v>1134.4000000000001</v>
      </c>
      <c r="AD13" s="75">
        <v>0.13500000000000001</v>
      </c>
      <c r="AE13" s="487">
        <v>2.1000000000000001E-2</v>
      </c>
      <c r="AF13" s="488"/>
      <c r="AN13" s="312" t="s">
        <v>679</v>
      </c>
      <c r="AO13" s="82">
        <v>0.23</v>
      </c>
      <c r="AP13" s="82">
        <v>0.02</v>
      </c>
      <c r="AQ13" s="82">
        <v>2.0499999999999998</v>
      </c>
      <c r="AR13" s="313" t="s">
        <v>603</v>
      </c>
      <c r="AU13" s="94" t="s">
        <v>680</v>
      </c>
      <c r="AV13" s="95">
        <v>1100</v>
      </c>
      <c r="AX13" s="13" t="s">
        <v>681</v>
      </c>
      <c r="AY13" s="96">
        <v>0</v>
      </c>
      <c r="AZ13" s="470" t="s">
        <v>682</v>
      </c>
      <c r="BA13" s="471"/>
      <c r="BB13" s="472"/>
      <c r="BD13" s="108" t="s">
        <v>419</v>
      </c>
      <c r="BE13" s="113" t="s">
        <v>446</v>
      </c>
      <c r="BF13" s="117">
        <v>1.1020000000000001</v>
      </c>
      <c r="BG13" s="108" t="s">
        <v>449</v>
      </c>
      <c r="BL13" s="164" t="s">
        <v>163</v>
      </c>
      <c r="BM13" s="165">
        <v>0.49099999999999999</v>
      </c>
      <c r="BR13" t="s">
        <v>138</v>
      </c>
      <c r="BS13" t="s">
        <v>618</v>
      </c>
      <c r="BU13" s="372" t="s">
        <v>683</v>
      </c>
    </row>
    <row r="14" spans="1:73" ht="15.75" customHeight="1">
      <c r="A14" s="176">
        <v>0.22</v>
      </c>
      <c r="B14" s="21" t="s">
        <v>641</v>
      </c>
      <c r="C14" s="14">
        <v>97.72</v>
      </c>
      <c r="D14" s="14">
        <v>11</v>
      </c>
      <c r="E14" s="14">
        <v>1.6</v>
      </c>
      <c r="F14" s="22">
        <v>1389</v>
      </c>
      <c r="G14" s="23">
        <v>156</v>
      </c>
      <c r="H14" s="23">
        <v>23</v>
      </c>
      <c r="I14" s="187" t="s">
        <v>655</v>
      </c>
      <c r="J14" s="194">
        <v>1102</v>
      </c>
      <c r="K14" s="190" t="s">
        <v>684</v>
      </c>
      <c r="L14" s="20">
        <v>4.5</v>
      </c>
      <c r="M14" s="10" t="s">
        <v>593</v>
      </c>
      <c r="O14" s="504"/>
      <c r="P14" s="11" t="s">
        <v>592</v>
      </c>
      <c r="Q14" s="39">
        <v>2.2233823529411764E-2</v>
      </c>
      <c r="R14" s="39">
        <v>3.0311974789915971E-2</v>
      </c>
      <c r="T14" s="64" t="s">
        <v>685</v>
      </c>
      <c r="U14" s="53">
        <v>0.129</v>
      </c>
      <c r="V14" s="57">
        <v>5.9999999999999995E-4</v>
      </c>
      <c r="W14" s="57">
        <v>4.1000000000000003E-3</v>
      </c>
      <c r="X14" s="24" t="s">
        <v>634</v>
      </c>
      <c r="Z14" s="489" t="s">
        <v>686</v>
      </c>
      <c r="AA14" s="490"/>
      <c r="AB14" s="491"/>
      <c r="AC14" s="74">
        <v>1633.1</v>
      </c>
      <c r="AD14" s="75">
        <v>0.17599999999999999</v>
      </c>
      <c r="AE14" s="487">
        <v>2.7E-2</v>
      </c>
      <c r="AF14" s="488"/>
      <c r="AN14" s="312" t="s">
        <v>687</v>
      </c>
      <c r="AO14" s="82" t="s">
        <v>603</v>
      </c>
      <c r="AP14" s="82">
        <v>0.02</v>
      </c>
      <c r="AQ14" s="82">
        <v>2.8</v>
      </c>
      <c r="AR14" s="313" t="s">
        <v>603</v>
      </c>
      <c r="AU14" s="94" t="s">
        <v>688</v>
      </c>
      <c r="AV14" s="95">
        <v>1430</v>
      </c>
      <c r="AX14" s="13" t="s">
        <v>689</v>
      </c>
      <c r="AY14" s="96">
        <v>2107</v>
      </c>
      <c r="AZ14" s="470" t="s">
        <v>690</v>
      </c>
      <c r="BA14" s="471"/>
      <c r="BB14" s="472"/>
      <c r="BD14" s="106" t="s">
        <v>439</v>
      </c>
      <c r="BE14" s="113" t="s">
        <v>446</v>
      </c>
      <c r="BF14" s="118">
        <f>1/2000</f>
        <v>5.0000000000000001E-4</v>
      </c>
      <c r="BG14" s="108" t="s">
        <v>450</v>
      </c>
      <c r="BL14" s="164" t="s">
        <v>166</v>
      </c>
      <c r="BM14" s="165">
        <v>4.8600000000000003</v>
      </c>
      <c r="BR14" t="s">
        <v>141</v>
      </c>
      <c r="BS14" t="s">
        <v>618</v>
      </c>
      <c r="BU14" s="372" t="s">
        <v>691</v>
      </c>
    </row>
    <row r="15" spans="1:73" ht="16" thickBot="1">
      <c r="A15" s="171">
        <v>0</v>
      </c>
      <c r="B15" s="21" t="s">
        <v>692</v>
      </c>
      <c r="C15" s="14">
        <v>94.27</v>
      </c>
      <c r="D15" s="14">
        <v>11</v>
      </c>
      <c r="E15" s="14">
        <v>1.6</v>
      </c>
      <c r="F15" s="22">
        <v>2016</v>
      </c>
      <c r="G15" s="23">
        <v>235</v>
      </c>
      <c r="H15" s="23">
        <v>34</v>
      </c>
      <c r="I15" s="187" t="s">
        <v>655</v>
      </c>
      <c r="J15" s="194"/>
      <c r="K15" s="193" t="s">
        <v>645</v>
      </c>
      <c r="L15" s="25">
        <v>5.4440000000000002E-2</v>
      </c>
      <c r="M15" s="26" t="s">
        <v>591</v>
      </c>
      <c r="O15" s="504"/>
      <c r="P15" s="11" t="s">
        <v>632</v>
      </c>
      <c r="Q15" s="40">
        <v>1.6E-2</v>
      </c>
      <c r="R15" s="40">
        <v>5.0000000000000001E-3</v>
      </c>
      <c r="T15" s="54" t="s">
        <v>693</v>
      </c>
      <c r="U15" s="55">
        <v>0.16300000000000001</v>
      </c>
      <c r="V15" s="65">
        <v>5.9999999999999995E-4</v>
      </c>
      <c r="W15" s="66">
        <v>5.1999999999999998E-3</v>
      </c>
      <c r="X15" s="26" t="s">
        <v>634</v>
      </c>
      <c r="Z15" s="489" t="s">
        <v>694</v>
      </c>
      <c r="AA15" s="490"/>
      <c r="AB15" s="491"/>
      <c r="AC15" s="74">
        <v>1582.1</v>
      </c>
      <c r="AD15" s="75">
        <v>0.14799999999999999</v>
      </c>
      <c r="AE15" s="487">
        <v>2.1999999999999999E-2</v>
      </c>
      <c r="AF15" s="488"/>
      <c r="AN15" s="312" t="s">
        <v>695</v>
      </c>
      <c r="AO15" s="82" t="s">
        <v>603</v>
      </c>
      <c r="AP15" s="82">
        <v>0.02</v>
      </c>
      <c r="AQ15" s="82">
        <v>2.8</v>
      </c>
      <c r="AR15" s="313" t="s">
        <v>603</v>
      </c>
      <c r="AU15" s="94" t="s">
        <v>696</v>
      </c>
      <c r="AV15" s="95">
        <v>353</v>
      </c>
      <c r="AX15" s="13" t="s">
        <v>697</v>
      </c>
      <c r="AY15" s="96">
        <v>2804</v>
      </c>
      <c r="AZ15" s="470" t="s">
        <v>698</v>
      </c>
      <c r="BA15" s="471"/>
      <c r="BB15" s="472"/>
      <c r="BD15" s="113" t="s">
        <v>446</v>
      </c>
      <c r="BE15" s="113" t="s">
        <v>446</v>
      </c>
      <c r="BF15" s="119">
        <v>1</v>
      </c>
      <c r="BG15" s="108" t="s">
        <v>451</v>
      </c>
      <c r="BL15" s="164" t="s">
        <v>169</v>
      </c>
      <c r="BM15" s="165">
        <v>0.79</v>
      </c>
      <c r="BR15" t="s">
        <v>144</v>
      </c>
      <c r="BS15" t="s">
        <v>618</v>
      </c>
      <c r="BU15" s="372" t="s">
        <v>699</v>
      </c>
    </row>
    <row r="16" spans="1:73">
      <c r="A16" s="172" t="s">
        <v>424</v>
      </c>
      <c r="B16" s="13" t="s">
        <v>700</v>
      </c>
      <c r="C16" s="14">
        <v>95.52</v>
      </c>
      <c r="D16" s="14">
        <v>11</v>
      </c>
      <c r="E16" s="14">
        <v>1.6</v>
      </c>
      <c r="F16" s="27">
        <v>1885</v>
      </c>
      <c r="G16" s="27">
        <v>217</v>
      </c>
      <c r="H16" s="27">
        <v>32</v>
      </c>
      <c r="I16" s="187" t="s">
        <v>655</v>
      </c>
      <c r="J16" s="194"/>
      <c r="O16" s="504"/>
      <c r="P16" s="11" t="s">
        <v>645</v>
      </c>
      <c r="Q16" s="40">
        <v>0.158</v>
      </c>
      <c r="R16" s="40">
        <v>5.0000000000000001E-3</v>
      </c>
      <c r="Z16" s="489" t="s">
        <v>701</v>
      </c>
      <c r="AA16" s="490"/>
      <c r="AB16" s="491"/>
      <c r="AC16" s="74">
        <v>995.8</v>
      </c>
      <c r="AD16" s="75">
        <v>0.107</v>
      </c>
      <c r="AE16" s="487">
        <v>1.4999999999999999E-2</v>
      </c>
      <c r="AF16" s="488"/>
      <c r="AN16" s="312" t="s">
        <v>702</v>
      </c>
      <c r="AO16" s="82" t="s">
        <v>603</v>
      </c>
      <c r="AP16" s="82">
        <v>0.02</v>
      </c>
      <c r="AQ16" s="82">
        <v>3.02</v>
      </c>
      <c r="AR16" s="313" t="s">
        <v>603</v>
      </c>
      <c r="AU16" s="21" t="s">
        <v>703</v>
      </c>
      <c r="AV16" s="95">
        <v>4470</v>
      </c>
      <c r="AX16" s="13" t="s">
        <v>704</v>
      </c>
      <c r="AY16" s="96">
        <v>1774</v>
      </c>
      <c r="AZ16" s="470" t="s">
        <v>705</v>
      </c>
      <c r="BA16" s="471"/>
      <c r="BB16" s="472"/>
      <c r="BD16" s="113" t="s">
        <v>419</v>
      </c>
      <c r="BE16" s="106" t="s">
        <v>439</v>
      </c>
      <c r="BF16" s="120">
        <v>2205</v>
      </c>
      <c r="BG16" s="108" t="s">
        <v>452</v>
      </c>
      <c r="BL16" s="164" t="s">
        <v>172</v>
      </c>
      <c r="BM16" s="165">
        <v>8.2299999999999998E-2</v>
      </c>
      <c r="BR16" t="s">
        <v>147</v>
      </c>
      <c r="BS16" t="s">
        <v>618</v>
      </c>
      <c r="BU16" s="372" t="s">
        <v>706</v>
      </c>
    </row>
    <row r="17" spans="1:73">
      <c r="A17" s="172" t="s">
        <v>424</v>
      </c>
      <c r="B17" s="13" t="s">
        <v>707</v>
      </c>
      <c r="C17" s="14">
        <v>93.9</v>
      </c>
      <c r="D17" s="14">
        <v>11</v>
      </c>
      <c r="E17" s="14">
        <v>1.6</v>
      </c>
      <c r="F17" s="27">
        <v>2468</v>
      </c>
      <c r="G17" s="27">
        <v>289</v>
      </c>
      <c r="H17" s="27">
        <v>42</v>
      </c>
      <c r="I17" s="187" t="s">
        <v>655</v>
      </c>
      <c r="J17" s="194"/>
      <c r="O17" s="504"/>
      <c r="P17" s="11" t="s">
        <v>656</v>
      </c>
      <c r="Q17" s="40">
        <v>1.6E-2</v>
      </c>
      <c r="R17" s="40">
        <v>5.0000000000000001E-3</v>
      </c>
      <c r="T17" s="323" t="s">
        <v>392</v>
      </c>
      <c r="Z17" s="489" t="s">
        <v>708</v>
      </c>
      <c r="AA17" s="490"/>
      <c r="AB17" s="491"/>
      <c r="AC17" s="74">
        <v>539.4</v>
      </c>
      <c r="AD17" s="75">
        <v>7.1999999999999995E-2</v>
      </c>
      <c r="AE17" s="487">
        <v>8.9999999999999993E-3</v>
      </c>
      <c r="AF17" s="488"/>
      <c r="AN17" s="312" t="s">
        <v>709</v>
      </c>
      <c r="AO17" s="82" t="s">
        <v>603</v>
      </c>
      <c r="AP17" s="82">
        <v>0.02</v>
      </c>
      <c r="AQ17" s="82">
        <v>1.26</v>
      </c>
      <c r="AR17" s="313" t="s">
        <v>603</v>
      </c>
      <c r="AU17" s="94" t="s">
        <v>710</v>
      </c>
      <c r="AV17" s="95">
        <v>53</v>
      </c>
      <c r="AX17" s="13" t="s">
        <v>711</v>
      </c>
      <c r="AY17" s="96">
        <v>1627</v>
      </c>
      <c r="AZ17" s="470" t="s">
        <v>712</v>
      </c>
      <c r="BA17" s="471"/>
      <c r="BB17" s="472"/>
      <c r="BD17" s="113" t="s">
        <v>419</v>
      </c>
      <c r="BE17" s="106" t="s">
        <v>442</v>
      </c>
      <c r="BF17" s="120">
        <v>1000</v>
      </c>
      <c r="BG17" s="108" t="s">
        <v>453</v>
      </c>
      <c r="BL17" s="164" t="s">
        <v>175</v>
      </c>
      <c r="BM17" s="165">
        <v>8.9600000000000009</v>
      </c>
      <c r="BR17" t="s">
        <v>150</v>
      </c>
      <c r="BS17" t="s">
        <v>618</v>
      </c>
      <c r="BU17" s="372" t="s">
        <v>713</v>
      </c>
    </row>
    <row r="18" spans="1:73" ht="16" thickBot="1">
      <c r="A18" s="172">
        <v>0</v>
      </c>
      <c r="B18" s="13" t="s">
        <v>714</v>
      </c>
      <c r="C18" s="14">
        <v>94.67</v>
      </c>
      <c r="D18" s="14">
        <v>11</v>
      </c>
      <c r="E18" s="14">
        <v>1.6</v>
      </c>
      <c r="F18" s="27">
        <v>2116</v>
      </c>
      <c r="G18" s="27">
        <v>246</v>
      </c>
      <c r="H18" s="27">
        <v>36</v>
      </c>
      <c r="I18" s="187" t="s">
        <v>655</v>
      </c>
      <c r="J18" s="194"/>
      <c r="O18" s="504"/>
      <c r="P18" s="11" t="s">
        <v>684</v>
      </c>
      <c r="Q18" s="40">
        <v>0.158</v>
      </c>
      <c r="R18" s="40">
        <v>5.0000000000000001E-3</v>
      </c>
      <c r="S18" s="324">
        <v>67.8</v>
      </c>
      <c r="T18" t="s">
        <v>715</v>
      </c>
      <c r="U18" s="327">
        <f>AVERAGE(U6:U8)*0.678</f>
        <v>0.21650800000000001</v>
      </c>
      <c r="V18" s="327">
        <f t="shared" ref="V18:W18" si="0">AVERAGE(V6:V8)*0.678</f>
        <v>2.9832000000000004E-2</v>
      </c>
      <c r="W18" s="327">
        <f t="shared" si="0"/>
        <v>8.5880000000000001E-3</v>
      </c>
      <c r="Z18" s="489" t="s">
        <v>716</v>
      </c>
      <c r="AA18" s="490"/>
      <c r="AB18" s="491"/>
      <c r="AC18" s="74">
        <v>634.6</v>
      </c>
      <c r="AD18" s="75">
        <v>5.8000000000000003E-2</v>
      </c>
      <c r="AE18" s="487">
        <v>8.0000000000000002E-3</v>
      </c>
      <c r="AF18" s="488"/>
      <c r="AN18" s="312" t="s">
        <v>717</v>
      </c>
      <c r="AO18" s="82" t="s">
        <v>603</v>
      </c>
      <c r="AP18" s="82">
        <v>0.02</v>
      </c>
      <c r="AQ18" s="82">
        <v>0.01</v>
      </c>
      <c r="AR18" s="314">
        <v>0.17</v>
      </c>
      <c r="AU18" s="94" t="s">
        <v>718</v>
      </c>
      <c r="AV18" s="95">
        <v>124</v>
      </c>
      <c r="AX18" s="13" t="s">
        <v>719</v>
      </c>
      <c r="AY18" s="96">
        <v>1552</v>
      </c>
      <c r="AZ18" s="470" t="s">
        <v>720</v>
      </c>
      <c r="BA18" s="471"/>
      <c r="BB18" s="472"/>
      <c r="BD18" s="121"/>
      <c r="BE18" s="122"/>
      <c r="BF18" s="122"/>
      <c r="BG18" s="123"/>
      <c r="BL18" s="164" t="s">
        <v>178</v>
      </c>
      <c r="BM18" s="165">
        <v>29.2</v>
      </c>
      <c r="BR18" t="s">
        <v>153</v>
      </c>
      <c r="BS18" t="s">
        <v>618</v>
      </c>
      <c r="BU18" s="372" t="s">
        <v>721</v>
      </c>
    </row>
    <row r="19" spans="1:73" ht="16" thickBot="1">
      <c r="A19" s="172">
        <v>0</v>
      </c>
      <c r="B19" s="21" t="s">
        <v>722</v>
      </c>
      <c r="C19" s="14">
        <v>113.67</v>
      </c>
      <c r="D19" s="14">
        <v>11</v>
      </c>
      <c r="E19" s="14">
        <v>1.6</v>
      </c>
      <c r="F19" s="27">
        <v>2819</v>
      </c>
      <c r="G19" s="27">
        <v>273</v>
      </c>
      <c r="H19" s="27">
        <v>40</v>
      </c>
      <c r="I19" s="187" t="s">
        <v>655</v>
      </c>
      <c r="J19" s="194"/>
      <c r="O19" s="505"/>
      <c r="P19" s="11" t="s">
        <v>666</v>
      </c>
      <c r="Q19" s="40">
        <v>2.9000000000000001E-2</v>
      </c>
      <c r="R19" s="40">
        <v>2.1000000000000001E-2</v>
      </c>
      <c r="S19" s="324">
        <v>2.5</v>
      </c>
      <c r="T19" t="s">
        <v>723</v>
      </c>
      <c r="U19" s="327">
        <f>AVERAGE(U9:U12)*0.025</f>
        <v>2.4937499999999999E-3</v>
      </c>
      <c r="V19" s="327">
        <f t="shared" ref="V19:W19" si="1">AVERAGE(V9:V12)*0.025</f>
        <v>2.1500000000000002E-4</v>
      </c>
      <c r="W19" s="329">
        <f t="shared" si="1"/>
        <v>4.6875000000000008E-5</v>
      </c>
      <c r="Z19" s="489" t="s">
        <v>724</v>
      </c>
      <c r="AA19" s="490"/>
      <c r="AB19" s="491"/>
      <c r="AC19" s="74">
        <v>816.8</v>
      </c>
      <c r="AD19" s="75">
        <v>1.9E-2</v>
      </c>
      <c r="AE19" s="487">
        <v>2E-3</v>
      </c>
      <c r="AF19" s="488"/>
      <c r="AN19" s="312" t="s">
        <v>725</v>
      </c>
      <c r="AO19" s="82">
        <v>0.11</v>
      </c>
      <c r="AP19" s="82">
        <v>0.9</v>
      </c>
      <c r="AQ19" s="82">
        <v>0.05</v>
      </c>
      <c r="AR19" s="314" t="s">
        <v>603</v>
      </c>
      <c r="AU19" s="94" t="s">
        <v>726</v>
      </c>
      <c r="AV19" s="95">
        <v>12</v>
      </c>
      <c r="AX19" s="13" t="s">
        <v>727</v>
      </c>
      <c r="AY19" s="96">
        <v>2301</v>
      </c>
      <c r="AZ19" s="470" t="s">
        <v>728</v>
      </c>
      <c r="BA19" s="471"/>
      <c r="BB19" s="472"/>
      <c r="BD19" s="467" t="s">
        <v>454</v>
      </c>
      <c r="BE19" s="468"/>
      <c r="BF19" s="468"/>
      <c r="BG19" s="469"/>
      <c r="BL19" s="164" t="s">
        <v>182</v>
      </c>
      <c r="BM19" s="165">
        <v>2.89</v>
      </c>
      <c r="BR19" t="s">
        <v>156</v>
      </c>
      <c r="BS19" t="s">
        <v>618</v>
      </c>
      <c r="BU19" s="372" t="s">
        <v>729</v>
      </c>
    </row>
    <row r="20" spans="1:73" ht="16" thickBot="1">
      <c r="A20" s="172">
        <v>0</v>
      </c>
      <c r="B20" s="13" t="s">
        <v>730</v>
      </c>
      <c r="C20" s="14">
        <v>90.7</v>
      </c>
      <c r="D20" s="14">
        <v>32</v>
      </c>
      <c r="E20" s="14">
        <v>4.2</v>
      </c>
      <c r="F20" s="27">
        <v>902</v>
      </c>
      <c r="G20" s="27">
        <v>318</v>
      </c>
      <c r="H20" s="27">
        <v>42</v>
      </c>
      <c r="I20" s="187" t="s">
        <v>655</v>
      </c>
      <c r="J20" s="194"/>
      <c r="O20" s="506" t="s">
        <v>731</v>
      </c>
      <c r="P20" s="11" t="s">
        <v>595</v>
      </c>
      <c r="Q20" s="39">
        <v>7.3000000000000001E-3</v>
      </c>
      <c r="R20" s="39">
        <v>2.3949999999999999E-2</v>
      </c>
      <c r="S20" s="324">
        <v>17.899999999999999</v>
      </c>
      <c r="T20" t="s">
        <v>732</v>
      </c>
      <c r="U20">
        <v>0</v>
      </c>
      <c r="V20">
        <v>0</v>
      </c>
      <c r="W20">
        <v>0</v>
      </c>
      <c r="Z20" s="489" t="s">
        <v>733</v>
      </c>
      <c r="AA20" s="490"/>
      <c r="AB20" s="491"/>
      <c r="AC20" s="74">
        <v>1210.9000000000001</v>
      </c>
      <c r="AD20" s="75">
        <v>0.126</v>
      </c>
      <c r="AE20" s="487">
        <v>1.6E-2</v>
      </c>
      <c r="AF20" s="488"/>
      <c r="AN20" s="312" t="s">
        <v>734</v>
      </c>
      <c r="AO20" s="82">
        <v>0.02</v>
      </c>
      <c r="AP20" s="82">
        <v>0.42</v>
      </c>
      <c r="AQ20" s="82">
        <v>0.05</v>
      </c>
      <c r="AR20" s="314" t="s">
        <v>603</v>
      </c>
      <c r="AU20" s="94" t="s">
        <v>735</v>
      </c>
      <c r="AV20" s="95">
        <v>3220</v>
      </c>
      <c r="AX20" s="13" t="s">
        <v>736</v>
      </c>
      <c r="AY20" s="96">
        <v>0</v>
      </c>
      <c r="AZ20" s="470" t="s">
        <v>737</v>
      </c>
      <c r="BA20" s="471"/>
      <c r="BB20" s="472"/>
      <c r="BD20" s="124" t="s">
        <v>607</v>
      </c>
      <c r="BE20" s="103" t="s">
        <v>608</v>
      </c>
      <c r="BF20" s="103" t="s">
        <v>609</v>
      </c>
      <c r="BG20" s="103" t="s">
        <v>50</v>
      </c>
      <c r="BL20" s="164" t="s">
        <v>184</v>
      </c>
      <c r="BM20" s="165">
        <v>4280</v>
      </c>
      <c r="BR20" t="s">
        <v>159</v>
      </c>
      <c r="BS20" t="s">
        <v>618</v>
      </c>
      <c r="BU20" s="372" t="s">
        <v>738</v>
      </c>
    </row>
    <row r="21" spans="1:73">
      <c r="A21" s="75">
        <f>2.2/42</f>
        <v>5.2380952380952382E-2</v>
      </c>
      <c r="B21" s="13" t="s">
        <v>739</v>
      </c>
      <c r="C21" s="14">
        <v>102.41</v>
      </c>
      <c r="D21" s="14">
        <v>32</v>
      </c>
      <c r="E21" s="14">
        <v>4.2</v>
      </c>
      <c r="F21" s="27">
        <v>3072</v>
      </c>
      <c r="G21" s="27">
        <v>960</v>
      </c>
      <c r="H21" s="27">
        <v>126</v>
      </c>
      <c r="I21" s="187" t="s">
        <v>655</v>
      </c>
      <c r="J21" s="27">
        <v>1102</v>
      </c>
      <c r="O21" s="504"/>
      <c r="P21" s="11" t="s">
        <v>592</v>
      </c>
      <c r="Q21" s="39">
        <v>8.7373529411764697E-2</v>
      </c>
      <c r="R21" s="39">
        <v>5.9706274509803911E-2</v>
      </c>
      <c r="S21" s="326">
        <f>100-SUM(S18:S20)</f>
        <v>11.800000000000011</v>
      </c>
      <c r="T21" t="s">
        <v>740</v>
      </c>
      <c r="U21">
        <v>0</v>
      </c>
      <c r="V21">
        <v>0</v>
      </c>
      <c r="W21">
        <v>0</v>
      </c>
      <c r="Z21" s="489" t="s">
        <v>741</v>
      </c>
      <c r="AA21" s="490"/>
      <c r="AB21" s="491"/>
      <c r="AC21" s="74">
        <v>233.1</v>
      </c>
      <c r="AD21" s="75">
        <v>1.4999999999999999E-2</v>
      </c>
      <c r="AE21" s="487">
        <v>2E-3</v>
      </c>
      <c r="AF21" s="488"/>
      <c r="AN21" s="312" t="s">
        <v>742</v>
      </c>
      <c r="AO21" s="82">
        <v>0.02</v>
      </c>
      <c r="AP21" s="82">
        <v>0.35</v>
      </c>
      <c r="AQ21" s="82">
        <v>0.05</v>
      </c>
      <c r="AR21" s="314" t="s">
        <v>603</v>
      </c>
      <c r="AU21" s="94" t="s">
        <v>743</v>
      </c>
      <c r="AV21" s="95">
        <v>1340</v>
      </c>
      <c r="AX21" s="13" t="s">
        <v>744</v>
      </c>
      <c r="AY21" s="96">
        <v>2088</v>
      </c>
      <c r="AZ21" s="470" t="s">
        <v>745</v>
      </c>
      <c r="BA21" s="471"/>
      <c r="BB21" s="472"/>
      <c r="BD21" s="125" t="s">
        <v>455</v>
      </c>
      <c r="BE21" s="126" t="s">
        <v>456</v>
      </c>
      <c r="BF21" s="107">
        <v>7.4805000000000001</v>
      </c>
      <c r="BG21" s="126" t="s">
        <v>457</v>
      </c>
      <c r="BL21" s="164" t="s">
        <v>188</v>
      </c>
      <c r="BM21" s="165">
        <v>0.16700000000000001</v>
      </c>
      <c r="BR21" t="s">
        <v>162</v>
      </c>
      <c r="BS21" t="s">
        <v>618</v>
      </c>
      <c r="BU21" s="372" t="s">
        <v>746</v>
      </c>
    </row>
    <row r="22" spans="1:73">
      <c r="A22" s="172"/>
      <c r="B22" s="13" t="s">
        <v>747</v>
      </c>
      <c r="C22" s="14">
        <v>75</v>
      </c>
      <c r="D22" s="14">
        <v>32</v>
      </c>
      <c r="E22" s="14">
        <v>4.2</v>
      </c>
      <c r="F22" s="27">
        <v>2850</v>
      </c>
      <c r="G22" s="27">
        <v>1216</v>
      </c>
      <c r="H22" s="27">
        <v>160</v>
      </c>
      <c r="I22" s="187" t="s">
        <v>655</v>
      </c>
      <c r="J22" s="194"/>
      <c r="O22" s="504"/>
      <c r="P22" s="11" t="s">
        <v>645</v>
      </c>
      <c r="Q22" s="40">
        <v>1.829</v>
      </c>
      <c r="R22" s="40">
        <v>1E-3</v>
      </c>
      <c r="U22" s="325"/>
      <c r="Z22" s="489" t="s">
        <v>748</v>
      </c>
      <c r="AA22" s="490"/>
      <c r="AB22" s="491"/>
      <c r="AC22" s="74">
        <v>1558</v>
      </c>
      <c r="AD22" s="75">
        <v>8.1000000000000003E-2</v>
      </c>
      <c r="AE22" s="487">
        <v>1.2999999999999999E-2</v>
      </c>
      <c r="AF22" s="488"/>
      <c r="AN22" s="312" t="s">
        <v>749</v>
      </c>
      <c r="AO22" s="82">
        <v>0.02</v>
      </c>
      <c r="AP22" s="82">
        <v>1.25</v>
      </c>
      <c r="AQ22" s="82">
        <v>0.05</v>
      </c>
      <c r="AR22" s="314" t="s">
        <v>603</v>
      </c>
      <c r="AU22" s="94" t="s">
        <v>750</v>
      </c>
      <c r="AV22" s="95">
        <v>1370</v>
      </c>
      <c r="AX22" s="13" t="s">
        <v>751</v>
      </c>
      <c r="AY22" s="96">
        <v>2229</v>
      </c>
      <c r="AZ22" s="470" t="s">
        <v>752</v>
      </c>
      <c r="BA22" s="471"/>
      <c r="BB22" s="472"/>
      <c r="BD22" s="11" t="s">
        <v>455</v>
      </c>
      <c r="BE22" s="27" t="s">
        <v>458</v>
      </c>
      <c r="BF22" s="114">
        <v>0.17810000000000001</v>
      </c>
      <c r="BG22" s="27" t="s">
        <v>459</v>
      </c>
      <c r="BL22" s="164" t="s">
        <v>186</v>
      </c>
      <c r="BM22" s="165">
        <v>8770</v>
      </c>
      <c r="BR22" t="s">
        <v>165</v>
      </c>
      <c r="BS22" t="s">
        <v>618</v>
      </c>
      <c r="BU22" s="372" t="s">
        <v>753</v>
      </c>
    </row>
    <row r="23" spans="1:73">
      <c r="A23" s="172"/>
      <c r="B23" s="13" t="s">
        <v>754</v>
      </c>
      <c r="C23" s="14">
        <v>85.97</v>
      </c>
      <c r="D23" s="14">
        <v>32</v>
      </c>
      <c r="E23" s="14">
        <v>4.2</v>
      </c>
      <c r="F23" s="27">
        <v>2407</v>
      </c>
      <c r="G23" s="27">
        <v>896</v>
      </c>
      <c r="H23" s="27">
        <v>118</v>
      </c>
      <c r="I23" s="187" t="s">
        <v>655</v>
      </c>
      <c r="J23" s="194"/>
      <c r="O23" s="504"/>
      <c r="P23" s="11" t="s">
        <v>656</v>
      </c>
      <c r="Q23" s="40">
        <v>8.9999999999999993E-3</v>
      </c>
      <c r="R23" s="40">
        <v>1.7999999999999999E-2</v>
      </c>
      <c r="U23" s="327"/>
      <c r="Z23" s="489" t="s">
        <v>755</v>
      </c>
      <c r="AA23" s="490"/>
      <c r="AB23" s="491"/>
      <c r="AC23" s="74">
        <v>672.8</v>
      </c>
      <c r="AD23" s="75">
        <v>4.9000000000000002E-2</v>
      </c>
      <c r="AE23" s="487">
        <v>7.0000000000000001E-3</v>
      </c>
      <c r="AF23" s="488"/>
      <c r="AN23" s="312" t="s">
        <v>756</v>
      </c>
      <c r="AO23" s="82">
        <v>0.04</v>
      </c>
      <c r="AP23" s="82">
        <v>0.35</v>
      </c>
      <c r="AQ23" s="82">
        <v>0.05</v>
      </c>
      <c r="AR23" s="314" t="s">
        <v>603</v>
      </c>
      <c r="AU23" s="94" t="s">
        <v>757</v>
      </c>
      <c r="AV23" s="95">
        <v>9810</v>
      </c>
      <c r="AX23" s="13" t="s">
        <v>758</v>
      </c>
      <c r="AY23" s="96">
        <v>14</v>
      </c>
      <c r="AZ23" s="473" t="s">
        <v>759</v>
      </c>
      <c r="BA23" s="474"/>
      <c r="BB23" s="475"/>
      <c r="BD23" s="11" t="s">
        <v>455</v>
      </c>
      <c r="BE23" s="27" t="s">
        <v>460</v>
      </c>
      <c r="BF23" s="114">
        <v>28.32</v>
      </c>
      <c r="BG23" s="27" t="s">
        <v>461</v>
      </c>
      <c r="BL23" s="164" t="s">
        <v>190</v>
      </c>
      <c r="BM23" s="165">
        <v>0.42799999999999999</v>
      </c>
      <c r="BR23" t="s">
        <v>168</v>
      </c>
      <c r="BS23" t="s">
        <v>618</v>
      </c>
      <c r="BU23" s="372" t="s">
        <v>760</v>
      </c>
    </row>
    <row r="24" spans="1:73">
      <c r="A24" s="172"/>
      <c r="B24" s="21" t="s">
        <v>761</v>
      </c>
      <c r="C24" s="27">
        <v>118.17</v>
      </c>
      <c r="D24" s="27">
        <v>32</v>
      </c>
      <c r="E24" s="27">
        <v>4.2</v>
      </c>
      <c r="F24" s="27">
        <v>975</v>
      </c>
      <c r="G24" s="27">
        <v>264</v>
      </c>
      <c r="H24" s="27">
        <v>35</v>
      </c>
      <c r="I24" s="187" t="s">
        <v>655</v>
      </c>
      <c r="J24" s="194"/>
      <c r="O24" s="504"/>
      <c r="P24" s="11" t="s">
        <v>684</v>
      </c>
      <c r="Q24" s="40">
        <v>1.829</v>
      </c>
      <c r="R24" s="40">
        <v>1E-3</v>
      </c>
      <c r="U24" s="327"/>
      <c r="Z24" s="489" t="s">
        <v>762</v>
      </c>
      <c r="AA24" s="490"/>
      <c r="AB24" s="491"/>
      <c r="AC24" s="74">
        <v>1214.0999999999999</v>
      </c>
      <c r="AD24" s="75">
        <v>0.115</v>
      </c>
      <c r="AE24" s="487">
        <v>1.6E-2</v>
      </c>
      <c r="AF24" s="488"/>
      <c r="AN24" s="312" t="s">
        <v>763</v>
      </c>
      <c r="AO24" s="82">
        <v>0.04</v>
      </c>
      <c r="AP24" s="82">
        <v>1.25</v>
      </c>
      <c r="AQ24" s="82">
        <v>0.05</v>
      </c>
      <c r="AR24" s="314" t="s">
        <v>603</v>
      </c>
      <c r="AU24" s="21" t="s">
        <v>764</v>
      </c>
      <c r="AV24" s="95">
        <v>693</v>
      </c>
      <c r="AX24" s="13" t="s">
        <v>765</v>
      </c>
      <c r="AY24" s="96">
        <v>4</v>
      </c>
      <c r="AZ24" s="470" t="s">
        <v>766</v>
      </c>
      <c r="BA24" s="471"/>
      <c r="BB24" s="472"/>
      <c r="BD24" s="11" t="s">
        <v>455</v>
      </c>
      <c r="BE24" s="27" t="s">
        <v>462</v>
      </c>
      <c r="BF24" s="114">
        <v>2.8320000000000001E-2</v>
      </c>
      <c r="BG24" s="27" t="s">
        <v>463</v>
      </c>
      <c r="BL24" s="164" t="s">
        <v>192</v>
      </c>
      <c r="BM24" s="165">
        <v>153</v>
      </c>
      <c r="BR24" t="s">
        <v>171</v>
      </c>
      <c r="BS24" t="s">
        <v>618</v>
      </c>
      <c r="BU24" s="372" t="s">
        <v>767</v>
      </c>
    </row>
    <row r="25" spans="1:73">
      <c r="A25" s="172">
        <v>0.22</v>
      </c>
      <c r="B25" s="21" t="s">
        <v>653</v>
      </c>
      <c r="C25" s="27">
        <v>111.84</v>
      </c>
      <c r="D25" s="27">
        <v>32</v>
      </c>
      <c r="E25" s="27">
        <v>4.2</v>
      </c>
      <c r="F25" s="27">
        <v>895</v>
      </c>
      <c r="G25" s="27">
        <v>256</v>
      </c>
      <c r="H25" s="27">
        <v>34</v>
      </c>
      <c r="I25" s="187" t="s">
        <v>655</v>
      </c>
      <c r="J25" s="27">
        <v>1102</v>
      </c>
      <c r="O25" s="505"/>
      <c r="P25" s="11" t="s">
        <v>666</v>
      </c>
      <c r="Q25" s="40">
        <v>8.9999999999999993E-3</v>
      </c>
      <c r="R25" s="40">
        <v>4.2999999999999997E-2</v>
      </c>
      <c r="Z25" s="489" t="s">
        <v>768</v>
      </c>
      <c r="AA25" s="490"/>
      <c r="AB25" s="491"/>
      <c r="AC25" s="74">
        <v>1046.0999999999999</v>
      </c>
      <c r="AD25" s="75">
        <v>9.5000000000000001E-2</v>
      </c>
      <c r="AE25" s="487">
        <v>1.4E-2</v>
      </c>
      <c r="AF25" s="488"/>
      <c r="AN25" s="312" t="s">
        <v>769</v>
      </c>
      <c r="AO25" s="82">
        <v>0.09</v>
      </c>
      <c r="AP25" s="82">
        <v>0.17</v>
      </c>
      <c r="AQ25" s="82">
        <v>0.05</v>
      </c>
      <c r="AR25" s="314" t="s">
        <v>603</v>
      </c>
      <c r="AU25" s="94" t="s">
        <v>770</v>
      </c>
      <c r="AV25" s="95">
        <v>1030</v>
      </c>
      <c r="AX25" s="13" t="s">
        <v>771</v>
      </c>
      <c r="AY25" s="96">
        <v>2053</v>
      </c>
      <c r="AZ25" s="470" t="s">
        <v>772</v>
      </c>
      <c r="BA25" s="471"/>
      <c r="BB25" s="472"/>
      <c r="BD25" s="27" t="s">
        <v>456</v>
      </c>
      <c r="BE25" s="27" t="s">
        <v>458</v>
      </c>
      <c r="BF25" s="114">
        <v>2.3800000000000002E-2</v>
      </c>
      <c r="BG25" s="27" t="s">
        <v>464</v>
      </c>
      <c r="BL25" s="164" t="s">
        <v>204</v>
      </c>
      <c r="BM25" s="165">
        <v>5.03</v>
      </c>
      <c r="BR25" t="s">
        <v>174</v>
      </c>
      <c r="BS25" t="s">
        <v>618</v>
      </c>
      <c r="BU25" s="372" t="s">
        <v>773</v>
      </c>
    </row>
    <row r="26" spans="1:73">
      <c r="A26" s="172"/>
      <c r="B26" s="21" t="s">
        <v>774</v>
      </c>
      <c r="C26" s="27">
        <v>105.51</v>
      </c>
      <c r="D26" s="27">
        <v>32</v>
      </c>
      <c r="E26" s="27">
        <v>4.2</v>
      </c>
      <c r="F26" s="27">
        <v>1096</v>
      </c>
      <c r="G26" s="27">
        <v>332</v>
      </c>
      <c r="H26" s="27">
        <v>44</v>
      </c>
      <c r="I26" s="187" t="s">
        <v>655</v>
      </c>
      <c r="J26" s="194"/>
      <c r="O26" s="506" t="s">
        <v>775</v>
      </c>
      <c r="P26" s="11" t="s">
        <v>595</v>
      </c>
      <c r="Q26" s="39">
        <v>7.3000000000000001E-3</v>
      </c>
      <c r="R26" s="39">
        <v>2.3949999999999999E-2</v>
      </c>
      <c r="Z26" s="489" t="s">
        <v>776</v>
      </c>
      <c r="AA26" s="490"/>
      <c r="AB26" s="491"/>
      <c r="AC26" s="74">
        <v>1158.9000000000001</v>
      </c>
      <c r="AD26" s="75">
        <v>0.109</v>
      </c>
      <c r="AE26" s="487">
        <v>1.6E-2</v>
      </c>
      <c r="AF26" s="488"/>
      <c r="AN26" s="312" t="s">
        <v>777</v>
      </c>
      <c r="AO26" s="82">
        <v>0.15</v>
      </c>
      <c r="AP26" s="82">
        <v>7.0000000000000007E-2</v>
      </c>
      <c r="AQ26" s="82">
        <v>0.05</v>
      </c>
      <c r="AR26" s="314" t="s">
        <v>603</v>
      </c>
      <c r="AU26" s="94" t="s">
        <v>778</v>
      </c>
      <c r="AV26" s="95">
        <v>794</v>
      </c>
      <c r="AX26" s="13" t="s">
        <v>779</v>
      </c>
      <c r="AY26" s="96">
        <v>0</v>
      </c>
      <c r="AZ26" s="470" t="s">
        <v>780</v>
      </c>
      <c r="BA26" s="471"/>
      <c r="BB26" s="472"/>
      <c r="BD26" s="27" t="s">
        <v>456</v>
      </c>
      <c r="BE26" s="27" t="s">
        <v>460</v>
      </c>
      <c r="BF26" s="114">
        <v>3.7850000000000001</v>
      </c>
      <c r="BG26" s="27" t="s">
        <v>465</v>
      </c>
      <c r="BL26" s="164" t="s">
        <v>206</v>
      </c>
      <c r="BM26" s="165">
        <v>0.879</v>
      </c>
      <c r="BR26" t="s">
        <v>177</v>
      </c>
      <c r="BS26" t="s">
        <v>618</v>
      </c>
      <c r="BU26" s="372" t="s">
        <v>781</v>
      </c>
    </row>
    <row r="27" spans="1:73">
      <c r="A27" s="173"/>
      <c r="B27" s="21" t="s">
        <v>782</v>
      </c>
      <c r="C27" s="14">
        <v>0</v>
      </c>
      <c r="D27" s="14">
        <v>7.2</v>
      </c>
      <c r="E27" s="14">
        <v>3.6</v>
      </c>
      <c r="F27" s="28">
        <v>1640</v>
      </c>
      <c r="G27" s="28">
        <v>126</v>
      </c>
      <c r="H27" s="28">
        <v>63</v>
      </c>
      <c r="I27" s="187" t="s">
        <v>655</v>
      </c>
      <c r="J27" s="194"/>
      <c r="O27" s="504"/>
      <c r="P27" s="11" t="s">
        <v>592</v>
      </c>
      <c r="Q27" s="39">
        <v>8.7373529411764697E-2</v>
      </c>
      <c r="R27" s="39">
        <v>5.9706274509803911E-2</v>
      </c>
      <c r="Z27" s="489" t="s">
        <v>783</v>
      </c>
      <c r="AA27" s="490"/>
      <c r="AB27" s="491"/>
      <c r="AC27" s="74">
        <v>991.7</v>
      </c>
      <c r="AD27" s="75">
        <v>0.108</v>
      </c>
      <c r="AE27" s="487">
        <v>1.6E-2</v>
      </c>
      <c r="AF27" s="488"/>
      <c r="AN27" s="312" t="s">
        <v>784</v>
      </c>
      <c r="AO27" s="82" t="s">
        <v>603</v>
      </c>
      <c r="AP27" s="82">
        <v>0.57999999999999996</v>
      </c>
      <c r="AQ27" s="82">
        <v>0.05</v>
      </c>
      <c r="AR27" s="314">
        <v>0.15</v>
      </c>
      <c r="AU27" s="21" t="s">
        <v>785</v>
      </c>
      <c r="AV27" s="95">
        <v>1640</v>
      </c>
      <c r="AX27" s="13" t="s">
        <v>786</v>
      </c>
      <c r="AY27" s="96">
        <v>0</v>
      </c>
      <c r="AZ27" s="470" t="s">
        <v>787</v>
      </c>
      <c r="BA27" s="471"/>
      <c r="BB27" s="472"/>
      <c r="BD27" s="27" t="s">
        <v>456</v>
      </c>
      <c r="BE27" s="27" t="s">
        <v>462</v>
      </c>
      <c r="BF27" s="114">
        <v>3.7850000000000002E-3</v>
      </c>
      <c r="BG27" s="27" t="s">
        <v>466</v>
      </c>
      <c r="BL27" s="164" t="s">
        <v>208</v>
      </c>
      <c r="BM27" s="165">
        <v>7.78</v>
      </c>
      <c r="BR27" t="s">
        <v>116</v>
      </c>
      <c r="BS27" t="s">
        <v>788</v>
      </c>
      <c r="BU27" s="330" t="s">
        <v>789</v>
      </c>
    </row>
    <row r="28" spans="1:73">
      <c r="A28" s="170"/>
      <c r="B28" s="21" t="s">
        <v>790</v>
      </c>
      <c r="C28" s="14">
        <v>61.46</v>
      </c>
      <c r="D28" s="14">
        <v>3</v>
      </c>
      <c r="E28" s="16">
        <v>0.6</v>
      </c>
      <c r="F28" s="17">
        <v>0.15462999999999999</v>
      </c>
      <c r="G28" s="17">
        <v>7.548E-3</v>
      </c>
      <c r="H28" s="17">
        <v>1.5100000000000001E-3</v>
      </c>
      <c r="I28" s="187" t="s">
        <v>591</v>
      </c>
      <c r="J28" s="194"/>
      <c r="O28" s="504"/>
      <c r="P28" s="11" t="s">
        <v>621</v>
      </c>
      <c r="Q28" s="40">
        <v>7.4999999999999997E-2</v>
      </c>
      <c r="R28" s="40">
        <v>2.8000000000000001E-2</v>
      </c>
      <c r="Z28" s="489" t="s">
        <v>791</v>
      </c>
      <c r="AA28" s="490"/>
      <c r="AB28" s="491"/>
      <c r="AC28" s="74">
        <v>1031.5999999999999</v>
      </c>
      <c r="AD28" s="75">
        <v>0.08</v>
      </c>
      <c r="AE28" s="487">
        <v>1.2E-2</v>
      </c>
      <c r="AF28" s="488"/>
      <c r="AN28" s="312" t="s">
        <v>792</v>
      </c>
      <c r="AO28" s="82" t="s">
        <v>603</v>
      </c>
      <c r="AP28" s="82">
        <v>0.57999999999999996</v>
      </c>
      <c r="AQ28" s="82">
        <v>0.05</v>
      </c>
      <c r="AR28" s="314" t="s">
        <v>603</v>
      </c>
      <c r="AU28" s="94" t="s">
        <v>793</v>
      </c>
      <c r="AV28" s="95">
        <v>22800</v>
      </c>
      <c r="AX28" s="13" t="s">
        <v>794</v>
      </c>
      <c r="AY28" s="96">
        <v>2346</v>
      </c>
      <c r="AZ28" s="470" t="s">
        <v>795</v>
      </c>
      <c r="BA28" s="471"/>
      <c r="BB28" s="472"/>
      <c r="BD28" s="27" t="s">
        <v>458</v>
      </c>
      <c r="BE28" s="27" t="s">
        <v>467</v>
      </c>
      <c r="BF28" s="114">
        <v>42</v>
      </c>
      <c r="BG28" s="27" t="s">
        <v>468</v>
      </c>
      <c r="BL28" s="164" t="s">
        <v>210</v>
      </c>
      <c r="BM28" s="165">
        <v>3.97</v>
      </c>
      <c r="BR28" t="s">
        <v>120</v>
      </c>
      <c r="BS28" t="s">
        <v>788</v>
      </c>
      <c r="BU28" s="330" t="s">
        <v>796</v>
      </c>
    </row>
    <row r="29" spans="1:73">
      <c r="A29" s="174"/>
      <c r="B29" s="29" t="s">
        <v>797</v>
      </c>
      <c r="C29" s="14">
        <v>0</v>
      </c>
      <c r="D29" s="14">
        <v>3.2</v>
      </c>
      <c r="E29" s="14">
        <v>0.63</v>
      </c>
      <c r="F29" s="30">
        <v>2.5253999999999999E-2</v>
      </c>
      <c r="G29" s="30">
        <v>1.5520000000000002E-3</v>
      </c>
      <c r="H29" s="30">
        <v>3.0600000000000001E-4</v>
      </c>
      <c r="I29" s="187" t="s">
        <v>591</v>
      </c>
      <c r="J29" s="194"/>
      <c r="O29" s="504"/>
      <c r="P29" s="11" t="s">
        <v>632</v>
      </c>
      <c r="Q29" s="40">
        <v>7.4999999999999997E-2</v>
      </c>
      <c r="R29" s="40">
        <v>2.8000000000000001E-2</v>
      </c>
      <c r="Z29" s="489" t="s">
        <v>798</v>
      </c>
      <c r="AA29" s="490"/>
      <c r="AB29" s="491"/>
      <c r="AC29" s="74">
        <v>772.7</v>
      </c>
      <c r="AD29" s="75">
        <v>0.04</v>
      </c>
      <c r="AE29" s="487">
        <v>6.0000000000000001E-3</v>
      </c>
      <c r="AF29" s="488"/>
      <c r="AN29" s="312" t="s">
        <v>799</v>
      </c>
      <c r="AO29" s="82" t="s">
        <v>603</v>
      </c>
      <c r="AP29" s="82">
        <v>0.57999999999999996</v>
      </c>
      <c r="AQ29" s="82">
        <v>0.05</v>
      </c>
      <c r="AR29" s="314">
        <v>0.15</v>
      </c>
      <c r="AU29" s="94" t="s">
        <v>800</v>
      </c>
      <c r="AV29" s="95">
        <v>17200</v>
      </c>
      <c r="AX29" s="13" t="s">
        <v>801</v>
      </c>
      <c r="AY29" s="96">
        <v>3143</v>
      </c>
      <c r="AZ29" s="470" t="s">
        <v>802</v>
      </c>
      <c r="BA29" s="471"/>
      <c r="BB29" s="472"/>
      <c r="BD29" s="27" t="s">
        <v>458</v>
      </c>
      <c r="BE29" s="27" t="s">
        <v>460</v>
      </c>
      <c r="BF29" s="114">
        <v>158.99</v>
      </c>
      <c r="BG29" s="27" t="s">
        <v>469</v>
      </c>
      <c r="BL29" s="164" t="s">
        <v>212</v>
      </c>
      <c r="BM29" s="165">
        <v>0.153</v>
      </c>
      <c r="BR29" t="s">
        <v>124</v>
      </c>
      <c r="BS29" t="s">
        <v>788</v>
      </c>
      <c r="BU29" s="330" t="s">
        <v>803</v>
      </c>
    </row>
    <row r="30" spans="1:73" ht="16" thickBot="1">
      <c r="A30" s="174"/>
      <c r="B30" s="29" t="s">
        <v>804</v>
      </c>
      <c r="C30" s="14">
        <v>73.84</v>
      </c>
      <c r="D30" s="14">
        <v>1.1000000000000001</v>
      </c>
      <c r="E30" s="14">
        <v>0.11</v>
      </c>
      <c r="F30" s="30">
        <v>9.4499999999999993</v>
      </c>
      <c r="G30" s="30">
        <v>0.14000000000000001</v>
      </c>
      <c r="H30" s="30">
        <v>0.01</v>
      </c>
      <c r="I30" s="187" t="s">
        <v>593</v>
      </c>
      <c r="J30" s="194"/>
      <c r="O30" s="504"/>
      <c r="P30" s="11" t="s">
        <v>645</v>
      </c>
      <c r="Q30" s="40">
        <v>0.92100000000000004</v>
      </c>
      <c r="R30" s="40">
        <v>0</v>
      </c>
      <c r="Z30" s="489" t="s">
        <v>805</v>
      </c>
      <c r="AA30" s="490"/>
      <c r="AB30" s="491"/>
      <c r="AC30" s="74">
        <v>1543</v>
      </c>
      <c r="AD30" s="75">
        <v>0.17100000000000001</v>
      </c>
      <c r="AE30" s="487">
        <v>2.5000000000000001E-2</v>
      </c>
      <c r="AF30" s="488"/>
      <c r="AN30" s="312" t="s">
        <v>806</v>
      </c>
      <c r="AO30" s="82" t="s">
        <v>603</v>
      </c>
      <c r="AP30" s="82">
        <v>0.57999999999999996</v>
      </c>
      <c r="AQ30" s="82">
        <v>0.05</v>
      </c>
      <c r="AR30" s="314">
        <v>0.15</v>
      </c>
      <c r="AU30" s="94" t="s">
        <v>807</v>
      </c>
      <c r="AV30" s="95">
        <v>7390</v>
      </c>
      <c r="AX30" s="13" t="s">
        <v>808</v>
      </c>
      <c r="AY30" s="96">
        <v>2729</v>
      </c>
      <c r="AZ30" s="470" t="s">
        <v>809</v>
      </c>
      <c r="BA30" s="471"/>
      <c r="BB30" s="472"/>
      <c r="BD30" s="27" t="s">
        <v>458</v>
      </c>
      <c r="BE30" s="27" t="s">
        <v>462</v>
      </c>
      <c r="BF30" s="114">
        <v>0.15890000000000001</v>
      </c>
      <c r="BG30" s="27" t="s">
        <v>470</v>
      </c>
      <c r="BL30" s="166" t="s">
        <v>218</v>
      </c>
      <c r="BM30" s="167">
        <v>3.19</v>
      </c>
      <c r="BR30" t="s">
        <v>128</v>
      </c>
      <c r="BS30" t="s">
        <v>788</v>
      </c>
      <c r="BU30" s="330" t="s">
        <v>810</v>
      </c>
    </row>
    <row r="31" spans="1:73">
      <c r="A31" s="174"/>
      <c r="B31" s="29" t="s">
        <v>811</v>
      </c>
      <c r="C31" s="14">
        <v>68.44</v>
      </c>
      <c r="D31" s="14">
        <v>1.1000000000000001</v>
      </c>
      <c r="E31" s="14">
        <v>0.11</v>
      </c>
      <c r="F31" s="30">
        <v>5.75</v>
      </c>
      <c r="G31" s="30">
        <v>0.09</v>
      </c>
      <c r="H31" s="30">
        <v>0.01</v>
      </c>
      <c r="I31" s="187" t="s">
        <v>593</v>
      </c>
      <c r="J31" s="194"/>
      <c r="O31" s="504"/>
      <c r="P31" s="11" t="s">
        <v>656</v>
      </c>
      <c r="Q31" s="40">
        <v>3.0000000000000001E-3</v>
      </c>
      <c r="R31" s="40">
        <v>7.0000000000000001E-3</v>
      </c>
      <c r="Z31" s="489" t="s">
        <v>812</v>
      </c>
      <c r="AA31" s="490"/>
      <c r="AB31" s="491"/>
      <c r="AC31" s="74">
        <v>891.9</v>
      </c>
      <c r="AD31" s="75">
        <v>6.7000000000000004E-2</v>
      </c>
      <c r="AE31" s="487">
        <v>0.01</v>
      </c>
      <c r="AF31" s="488"/>
      <c r="AN31" s="312" t="s">
        <v>813</v>
      </c>
      <c r="AO31" s="82" t="s">
        <v>603</v>
      </c>
      <c r="AP31" s="82">
        <v>0.57999999999999996</v>
      </c>
      <c r="AQ31" s="82">
        <v>0.05</v>
      </c>
      <c r="AR31" s="314">
        <v>0.15</v>
      </c>
      <c r="AU31" s="21" t="s">
        <v>814</v>
      </c>
      <c r="AV31" s="95">
        <v>12200</v>
      </c>
      <c r="AX31" s="13" t="s">
        <v>815</v>
      </c>
      <c r="AY31" s="96">
        <v>2280</v>
      </c>
      <c r="AZ31" s="473" t="s">
        <v>816</v>
      </c>
      <c r="BA31" s="474"/>
      <c r="BB31" s="475"/>
      <c r="BD31" s="27" t="s">
        <v>460</v>
      </c>
      <c r="BE31" s="27" t="s">
        <v>462</v>
      </c>
      <c r="BF31" s="114">
        <v>1E-3</v>
      </c>
      <c r="BG31" s="27" t="s">
        <v>471</v>
      </c>
      <c r="BR31" t="s">
        <v>132</v>
      </c>
      <c r="BS31" t="s">
        <v>788</v>
      </c>
      <c r="BU31" s="330" t="s">
        <v>817</v>
      </c>
    </row>
    <row r="32" spans="1:73">
      <c r="A32" s="170"/>
      <c r="B32" s="21" t="s">
        <v>818</v>
      </c>
      <c r="C32" s="14">
        <v>71.06</v>
      </c>
      <c r="D32" s="14">
        <v>1.1000000000000001</v>
      </c>
      <c r="E32" s="16">
        <v>0.11</v>
      </c>
      <c r="F32" s="17">
        <v>8.8800000000000008</v>
      </c>
      <c r="G32" s="17">
        <v>0.14000000000000001</v>
      </c>
      <c r="H32" s="17">
        <v>0.01</v>
      </c>
      <c r="I32" s="187" t="s">
        <v>593</v>
      </c>
      <c r="J32" s="194"/>
      <c r="O32" s="504"/>
      <c r="P32" s="11" t="s">
        <v>684</v>
      </c>
      <c r="Q32" s="40">
        <v>0.92100000000000004</v>
      </c>
      <c r="R32" s="40">
        <v>0</v>
      </c>
      <c r="Z32" s="489" t="s">
        <v>819</v>
      </c>
      <c r="AA32" s="490"/>
      <c r="AB32" s="491"/>
      <c r="AC32" s="74">
        <v>931.6</v>
      </c>
      <c r="AD32" s="75">
        <v>8.6999999999999994E-2</v>
      </c>
      <c r="AE32" s="487">
        <v>1.2999999999999999E-2</v>
      </c>
      <c r="AF32" s="488"/>
      <c r="AN32" s="312" t="s">
        <v>820</v>
      </c>
      <c r="AO32" s="82" t="s">
        <v>603</v>
      </c>
      <c r="AP32" s="82">
        <v>0.57999999999999996</v>
      </c>
      <c r="AQ32" s="82">
        <v>0.05</v>
      </c>
      <c r="AR32" s="314">
        <v>0.15</v>
      </c>
      <c r="AU32" s="21" t="s">
        <v>821</v>
      </c>
      <c r="AV32" s="95">
        <v>8830</v>
      </c>
      <c r="AX32" s="13" t="s">
        <v>822</v>
      </c>
      <c r="AY32" s="96">
        <v>2440</v>
      </c>
      <c r="AZ32" s="476" t="s">
        <v>823</v>
      </c>
      <c r="BA32" s="477"/>
      <c r="BB32" s="478"/>
      <c r="BD32" s="27" t="s">
        <v>460</v>
      </c>
      <c r="BE32" s="27" t="s">
        <v>456</v>
      </c>
      <c r="BF32" s="114">
        <v>0.26419999999999999</v>
      </c>
      <c r="BG32" s="27" t="s">
        <v>472</v>
      </c>
      <c r="BR32" t="s">
        <v>134</v>
      </c>
      <c r="BS32" t="s">
        <v>788</v>
      </c>
      <c r="BU32" s="330" t="s">
        <v>824</v>
      </c>
    </row>
    <row r="33" spans="1:73" ht="16" thickBot="1">
      <c r="A33" s="175"/>
      <c r="B33" s="31" t="s">
        <v>825</v>
      </c>
      <c r="C33" s="32">
        <v>81.55</v>
      </c>
      <c r="D33" s="32">
        <v>1.1000000000000001</v>
      </c>
      <c r="E33" s="32">
        <v>0.11</v>
      </c>
      <c r="F33" s="33">
        <v>9.7899999999999991</v>
      </c>
      <c r="G33" s="33">
        <v>0.13</v>
      </c>
      <c r="H33" s="33">
        <v>0.01</v>
      </c>
      <c r="I33" s="188" t="s">
        <v>593</v>
      </c>
      <c r="J33" s="194"/>
      <c r="O33" s="505"/>
      <c r="P33" s="11" t="s">
        <v>666</v>
      </c>
      <c r="Q33" s="40">
        <v>8.9999999999999993E-3</v>
      </c>
      <c r="R33" s="40">
        <v>4.2999999999999997E-2</v>
      </c>
      <c r="Z33" s="492" t="s">
        <v>826</v>
      </c>
      <c r="AA33" s="493"/>
      <c r="AB33" s="494"/>
      <c r="AC33" s="76">
        <v>639.70000000000005</v>
      </c>
      <c r="AD33" s="77">
        <v>5.1999999999999998E-2</v>
      </c>
      <c r="AE33" s="495">
        <v>7.0000000000000001E-3</v>
      </c>
      <c r="AF33" s="496"/>
      <c r="AN33" s="312" t="s">
        <v>827</v>
      </c>
      <c r="AO33" s="82" t="s">
        <v>603</v>
      </c>
      <c r="AP33" s="82">
        <v>0.57999999999999996</v>
      </c>
      <c r="AQ33" s="82">
        <v>0.05</v>
      </c>
      <c r="AR33" s="314">
        <v>0.15</v>
      </c>
      <c r="AU33" s="21" t="s">
        <v>828</v>
      </c>
      <c r="AV33" s="95">
        <v>10300</v>
      </c>
      <c r="AX33" s="13" t="s">
        <v>829</v>
      </c>
      <c r="AY33" s="96">
        <v>1508</v>
      </c>
      <c r="AZ33" s="476" t="s">
        <v>830</v>
      </c>
      <c r="BA33" s="477"/>
      <c r="BB33" s="478"/>
      <c r="BD33" s="27" t="s">
        <v>462</v>
      </c>
      <c r="BE33" s="27" t="s">
        <v>458</v>
      </c>
      <c r="BF33" s="114">
        <v>6.2896999999999998</v>
      </c>
      <c r="BG33" s="27" t="s">
        <v>473</v>
      </c>
      <c r="BR33" t="s">
        <v>137</v>
      </c>
      <c r="BS33" t="s">
        <v>788</v>
      </c>
      <c r="BU33" s="330" t="s">
        <v>831</v>
      </c>
    </row>
    <row r="34" spans="1:73">
      <c r="O34" s="506" t="s">
        <v>832</v>
      </c>
      <c r="P34" s="11" t="s">
        <v>621</v>
      </c>
      <c r="Q34" s="40">
        <v>0.10199999999999999</v>
      </c>
      <c r="R34" s="40">
        <v>4.7E-2</v>
      </c>
      <c r="AN34" s="312" t="s">
        <v>833</v>
      </c>
      <c r="AO34" s="82" t="s">
        <v>603</v>
      </c>
      <c r="AP34" s="82">
        <v>0.57999999999999996</v>
      </c>
      <c r="AQ34" s="82">
        <v>0.05</v>
      </c>
      <c r="AR34" s="314">
        <v>0.15</v>
      </c>
      <c r="AU34" s="21" t="s">
        <v>834</v>
      </c>
      <c r="AV34" s="95">
        <v>8860</v>
      </c>
      <c r="AX34" s="13" t="s">
        <v>835</v>
      </c>
      <c r="AY34" s="96">
        <v>3607</v>
      </c>
      <c r="AZ34" s="497" t="s">
        <v>836</v>
      </c>
      <c r="BA34" s="498"/>
      <c r="BB34" s="499"/>
      <c r="BD34" s="27" t="s">
        <v>462</v>
      </c>
      <c r="BE34" s="27" t="s">
        <v>456</v>
      </c>
      <c r="BF34" s="114">
        <v>264.2</v>
      </c>
      <c r="BG34" s="27" t="s">
        <v>474</v>
      </c>
      <c r="BR34" t="s">
        <v>140</v>
      </c>
      <c r="BS34" t="s">
        <v>788</v>
      </c>
      <c r="BU34" s="330" t="s">
        <v>837</v>
      </c>
    </row>
    <row r="35" spans="1:73">
      <c r="O35" s="504"/>
      <c r="P35" s="11" t="s">
        <v>632</v>
      </c>
      <c r="Q35" s="40">
        <v>0.10199999999999999</v>
      </c>
      <c r="R35" s="40">
        <v>4.7E-2</v>
      </c>
      <c r="AN35" s="312" t="s">
        <v>838</v>
      </c>
      <c r="AO35" s="82" t="s">
        <v>603</v>
      </c>
      <c r="AP35" s="82">
        <v>0.33</v>
      </c>
      <c r="AQ35" s="82">
        <v>0.05</v>
      </c>
      <c r="AR35" s="314">
        <v>0.19</v>
      </c>
      <c r="AU35" s="21" t="s">
        <v>839</v>
      </c>
      <c r="AV35" s="95">
        <v>9160</v>
      </c>
      <c r="AX35" s="13" t="s">
        <v>840</v>
      </c>
      <c r="AY35" s="97">
        <v>3245</v>
      </c>
      <c r="AZ35" s="500" t="s">
        <v>841</v>
      </c>
      <c r="BA35" s="501"/>
      <c r="BB35" s="502"/>
      <c r="BD35" s="27" t="s">
        <v>462</v>
      </c>
      <c r="BE35" s="27" t="s">
        <v>460</v>
      </c>
      <c r="BF35" s="120">
        <v>1000</v>
      </c>
      <c r="BG35" s="27" t="s">
        <v>475</v>
      </c>
      <c r="BR35" t="s">
        <v>143</v>
      </c>
      <c r="BS35" t="s">
        <v>788</v>
      </c>
      <c r="BU35" s="330" t="s">
        <v>842</v>
      </c>
    </row>
    <row r="36" spans="1:73" ht="16" thickBot="1">
      <c r="O36" s="504"/>
      <c r="P36" s="11" t="s">
        <v>645</v>
      </c>
      <c r="Q36" s="40">
        <v>2.7869999999999999</v>
      </c>
      <c r="R36" s="40">
        <v>1E-3</v>
      </c>
      <c r="AN36" s="312" t="s">
        <v>843</v>
      </c>
      <c r="AO36" s="82" t="s">
        <v>603</v>
      </c>
      <c r="AP36" s="82">
        <v>0.26</v>
      </c>
      <c r="AQ36" s="82">
        <v>0.05</v>
      </c>
      <c r="AR36" s="314">
        <v>0.19</v>
      </c>
      <c r="AU36" s="21" t="s">
        <v>844</v>
      </c>
      <c r="AV36" s="95">
        <v>9300</v>
      </c>
      <c r="AX36" s="98" t="s">
        <v>845</v>
      </c>
      <c r="AY36" s="96">
        <v>32</v>
      </c>
      <c r="AZ36" s="497" t="s">
        <v>846</v>
      </c>
      <c r="BA36" s="498"/>
      <c r="BB36" s="499"/>
      <c r="BD36" s="121"/>
      <c r="BE36" s="122"/>
      <c r="BF36" s="122"/>
      <c r="BG36" s="122"/>
      <c r="BR36" t="s">
        <v>146</v>
      </c>
      <c r="BS36" t="s">
        <v>788</v>
      </c>
      <c r="BU36" s="330" t="s">
        <v>847</v>
      </c>
    </row>
    <row r="37" spans="1:73" ht="16" thickBot="1">
      <c r="O37" s="504"/>
      <c r="P37" s="11" t="s">
        <v>656</v>
      </c>
      <c r="Q37" s="40">
        <v>0.01</v>
      </c>
      <c r="R37" s="40">
        <v>1.0999999999999999E-2</v>
      </c>
      <c r="AN37" s="312" t="s">
        <v>848</v>
      </c>
      <c r="AO37" s="82" t="s">
        <v>603</v>
      </c>
      <c r="AP37" s="82">
        <v>0.26</v>
      </c>
      <c r="AQ37" s="82">
        <v>0.05</v>
      </c>
      <c r="AR37" s="314">
        <v>0.19</v>
      </c>
      <c r="AU37" s="34" t="s">
        <v>849</v>
      </c>
      <c r="AV37" s="99">
        <v>7500</v>
      </c>
      <c r="AX37" s="98" t="s">
        <v>850</v>
      </c>
      <c r="AY37" s="96">
        <v>0</v>
      </c>
      <c r="AZ37" s="152" t="s">
        <v>851</v>
      </c>
      <c r="BA37" s="153"/>
      <c r="BB37" s="154"/>
      <c r="BD37" s="155" t="s">
        <v>476</v>
      </c>
      <c r="BE37" s="156"/>
      <c r="BF37" s="156"/>
      <c r="BG37" s="157"/>
      <c r="BR37" t="s">
        <v>149</v>
      </c>
      <c r="BS37" t="s">
        <v>788</v>
      </c>
      <c r="BU37" s="330" t="s">
        <v>852</v>
      </c>
    </row>
    <row r="38" spans="1:73" ht="16" thickBot="1">
      <c r="O38" s="504"/>
      <c r="P38" s="11" t="s">
        <v>684</v>
      </c>
      <c r="Q38" s="40">
        <v>2.7869999999999999</v>
      </c>
      <c r="R38" s="40">
        <v>1E-3</v>
      </c>
      <c r="AN38" s="312" t="s">
        <v>853</v>
      </c>
      <c r="AO38" s="82" t="s">
        <v>603</v>
      </c>
      <c r="AP38" s="82">
        <v>0.53</v>
      </c>
      <c r="AQ38" s="82">
        <v>0.05</v>
      </c>
      <c r="AR38" s="314">
        <v>0.19</v>
      </c>
      <c r="AU38" s="134" t="s">
        <v>854</v>
      </c>
      <c r="AV38" s="135">
        <v>0.24</v>
      </c>
      <c r="AX38" s="98" t="s">
        <v>855</v>
      </c>
      <c r="AY38" s="96">
        <v>325</v>
      </c>
      <c r="AZ38" s="152" t="s">
        <v>856</v>
      </c>
      <c r="BA38" s="153"/>
      <c r="BB38" s="154"/>
      <c r="BD38" s="124" t="s">
        <v>607</v>
      </c>
      <c r="BE38" s="103" t="s">
        <v>608</v>
      </c>
      <c r="BF38" s="103" t="s">
        <v>609</v>
      </c>
      <c r="BG38" s="103" t="s">
        <v>50</v>
      </c>
      <c r="BR38" t="s">
        <v>152</v>
      </c>
      <c r="BS38" t="s">
        <v>788</v>
      </c>
      <c r="BU38" s="330" t="s">
        <v>857</v>
      </c>
    </row>
    <row r="39" spans="1:73">
      <c r="O39" s="505"/>
      <c r="P39" s="11" t="s">
        <v>666</v>
      </c>
      <c r="Q39" s="40">
        <v>8.9999999999999993E-3</v>
      </c>
      <c r="R39" s="40">
        <v>4.2999999999999997E-2</v>
      </c>
      <c r="AN39" s="312" t="s">
        <v>858</v>
      </c>
      <c r="AO39" s="82">
        <v>7.0000000000000007E-2</v>
      </c>
      <c r="AP39" s="82">
        <v>0.8</v>
      </c>
      <c r="AQ39" s="82">
        <v>0.05</v>
      </c>
      <c r="AR39" s="314" t="s">
        <v>603</v>
      </c>
      <c r="AU39" s="136" t="s">
        <v>859</v>
      </c>
      <c r="AV39" s="137">
        <v>0.11</v>
      </c>
      <c r="AX39" s="98" t="s">
        <v>860</v>
      </c>
      <c r="AY39" s="96">
        <v>3985</v>
      </c>
      <c r="AZ39" s="152" t="s">
        <v>861</v>
      </c>
      <c r="BA39" s="153"/>
      <c r="BB39" s="154"/>
      <c r="BD39" s="125" t="s">
        <v>477</v>
      </c>
      <c r="BE39" s="126" t="s">
        <v>478</v>
      </c>
      <c r="BF39" s="127">
        <v>3412</v>
      </c>
      <c r="BG39" s="106" t="s">
        <v>479</v>
      </c>
      <c r="BR39" t="s">
        <v>155</v>
      </c>
      <c r="BS39" t="s">
        <v>788</v>
      </c>
      <c r="BU39" s="330" t="s">
        <v>862</v>
      </c>
    </row>
    <row r="40" spans="1:73" ht="16" thickBot="1">
      <c r="O40" s="41" t="s">
        <v>55</v>
      </c>
      <c r="P40" s="42" t="s">
        <v>592</v>
      </c>
      <c r="Q40" s="43">
        <v>7.0000000000000001E-3</v>
      </c>
      <c r="R40" s="43">
        <v>8.3000000000000001E-3</v>
      </c>
      <c r="AN40" s="312" t="s">
        <v>863</v>
      </c>
      <c r="AO40" s="82">
        <v>7.0000000000000007E-2</v>
      </c>
      <c r="AP40" s="82">
        <v>0.77</v>
      </c>
      <c r="AQ40" s="82">
        <v>0.05</v>
      </c>
      <c r="AR40" s="314" t="s">
        <v>603</v>
      </c>
      <c r="AU40" s="138" t="s">
        <v>864</v>
      </c>
      <c r="AV40" s="139">
        <v>0.28999999999999998</v>
      </c>
      <c r="AX40" s="13" t="s">
        <v>865</v>
      </c>
      <c r="AY40" s="96">
        <v>13214</v>
      </c>
      <c r="AZ40" s="152" t="s">
        <v>866</v>
      </c>
      <c r="BA40" s="153"/>
      <c r="BB40" s="154"/>
      <c r="BD40" s="125" t="s">
        <v>477</v>
      </c>
      <c r="BE40" s="27" t="s">
        <v>480</v>
      </c>
      <c r="BF40" s="120">
        <v>3600</v>
      </c>
      <c r="BG40" s="113" t="s">
        <v>481</v>
      </c>
      <c r="BR40" t="s">
        <v>158</v>
      </c>
      <c r="BS40" t="s">
        <v>788</v>
      </c>
      <c r="BU40" s="330" t="s">
        <v>867</v>
      </c>
    </row>
    <row r="41" spans="1:73" ht="16" thickBot="1">
      <c r="AN41" s="312" t="s">
        <v>868</v>
      </c>
      <c r="AO41" s="82">
        <v>0.03</v>
      </c>
      <c r="AP41" s="82">
        <v>0.75</v>
      </c>
      <c r="AQ41" s="82">
        <v>0.05</v>
      </c>
      <c r="AR41" s="314" t="s">
        <v>603</v>
      </c>
      <c r="AX41" s="54" t="s">
        <v>869</v>
      </c>
      <c r="AY41" s="100">
        <v>13396</v>
      </c>
      <c r="AZ41" s="158" t="s">
        <v>870</v>
      </c>
      <c r="BA41" s="159"/>
      <c r="BB41" s="160"/>
      <c r="BD41" s="11" t="s">
        <v>482</v>
      </c>
      <c r="BE41" s="27" t="s">
        <v>483</v>
      </c>
      <c r="BF41" s="114">
        <v>1E-3</v>
      </c>
      <c r="BG41" s="113" t="s">
        <v>484</v>
      </c>
      <c r="BR41" t="s">
        <v>161</v>
      </c>
      <c r="BS41" t="s">
        <v>788</v>
      </c>
      <c r="BU41" s="330" t="s">
        <v>871</v>
      </c>
    </row>
    <row r="42" spans="1:73">
      <c r="AN42" s="312" t="s">
        <v>872</v>
      </c>
      <c r="AO42" s="82">
        <v>0.23</v>
      </c>
      <c r="AP42" s="82">
        <v>0.02</v>
      </c>
      <c r="AQ42" s="82">
        <v>0.01</v>
      </c>
      <c r="AR42" s="314" t="s">
        <v>603</v>
      </c>
      <c r="BD42" s="11" t="s">
        <v>485</v>
      </c>
      <c r="BE42" s="27" t="s">
        <v>486</v>
      </c>
      <c r="BF42" s="114">
        <v>0.94779999999999998</v>
      </c>
      <c r="BG42" s="113" t="s">
        <v>487</v>
      </c>
      <c r="BR42" t="s">
        <v>164</v>
      </c>
      <c r="BS42" t="s">
        <v>788</v>
      </c>
      <c r="BU42" s="330" t="s">
        <v>873</v>
      </c>
    </row>
    <row r="43" spans="1:73">
      <c r="AN43" s="312" t="s">
        <v>874</v>
      </c>
      <c r="AO43" s="82">
        <v>0.22</v>
      </c>
      <c r="AP43" s="82">
        <v>0.02</v>
      </c>
      <c r="AQ43" s="82">
        <v>2.34</v>
      </c>
      <c r="AR43" s="314" t="s">
        <v>603</v>
      </c>
      <c r="BD43" s="11" t="s">
        <v>485</v>
      </c>
      <c r="BE43" s="27" t="s">
        <v>488</v>
      </c>
      <c r="BF43" s="114">
        <v>277.8</v>
      </c>
      <c r="BG43" s="113" t="s">
        <v>489</v>
      </c>
      <c r="BR43" t="s">
        <v>167</v>
      </c>
      <c r="BS43" t="s">
        <v>788</v>
      </c>
      <c r="BU43" s="330" t="s">
        <v>875</v>
      </c>
    </row>
    <row r="44" spans="1:73">
      <c r="AN44" s="312" t="s">
        <v>876</v>
      </c>
      <c r="AO44" s="82">
        <v>0.09</v>
      </c>
      <c r="AP44" s="82">
        <v>0.68</v>
      </c>
      <c r="AQ44" s="82">
        <v>0.11</v>
      </c>
      <c r="AR44" s="314" t="s">
        <v>603</v>
      </c>
      <c r="BD44" s="11" t="s">
        <v>478</v>
      </c>
      <c r="BE44" s="27" t="s">
        <v>490</v>
      </c>
      <c r="BF44" s="120">
        <v>1055</v>
      </c>
      <c r="BG44" s="113" t="s">
        <v>491</v>
      </c>
      <c r="BR44" t="s">
        <v>170</v>
      </c>
      <c r="BS44" t="s">
        <v>788</v>
      </c>
      <c r="BU44" s="330" t="s">
        <v>877</v>
      </c>
    </row>
    <row r="45" spans="1:73">
      <c r="AN45" s="312" t="s">
        <v>878</v>
      </c>
      <c r="AO45" s="82" t="s">
        <v>603</v>
      </c>
      <c r="AP45" s="82">
        <v>0.57999999999999996</v>
      </c>
      <c r="AQ45" s="82">
        <v>0.05</v>
      </c>
      <c r="AR45" s="314">
        <v>0.15</v>
      </c>
      <c r="BD45" s="11" t="s">
        <v>486</v>
      </c>
      <c r="BE45" s="27" t="s">
        <v>483</v>
      </c>
      <c r="BF45" s="114">
        <v>1.0549999999999999</v>
      </c>
      <c r="BG45" s="113" t="s">
        <v>492</v>
      </c>
      <c r="BR45" t="s">
        <v>173</v>
      </c>
      <c r="BS45" t="s">
        <v>788</v>
      </c>
      <c r="BU45" s="330" t="s">
        <v>879</v>
      </c>
    </row>
    <row r="46" spans="1:73">
      <c r="AN46" s="312" t="s">
        <v>880</v>
      </c>
      <c r="AO46" s="82" t="s">
        <v>603</v>
      </c>
      <c r="AP46" s="82">
        <v>0.48</v>
      </c>
      <c r="AQ46" s="82">
        <v>0.05</v>
      </c>
      <c r="AR46" s="314">
        <v>0.17</v>
      </c>
      <c r="BD46" s="11" t="s">
        <v>486</v>
      </c>
      <c r="BE46" s="27" t="s">
        <v>488</v>
      </c>
      <c r="BF46" s="114">
        <v>293</v>
      </c>
      <c r="BG46" s="113" t="s">
        <v>493</v>
      </c>
      <c r="BR46" t="s">
        <v>176</v>
      </c>
      <c r="BS46" t="s">
        <v>788</v>
      </c>
      <c r="BU46" s="330" t="s">
        <v>881</v>
      </c>
    </row>
    <row r="47" spans="1:73">
      <c r="AN47" s="312" t="s">
        <v>882</v>
      </c>
      <c r="AO47" s="82" t="s">
        <v>603</v>
      </c>
      <c r="AP47" s="82">
        <v>0.52</v>
      </c>
      <c r="AQ47" s="82">
        <v>0.43</v>
      </c>
      <c r="AR47" s="314" t="s">
        <v>603</v>
      </c>
      <c r="BD47" s="11" t="s">
        <v>494</v>
      </c>
      <c r="BE47" s="27" t="s">
        <v>478</v>
      </c>
      <c r="BF47" s="120">
        <v>100000</v>
      </c>
      <c r="BG47" s="116" t="s">
        <v>495</v>
      </c>
      <c r="BR47" t="s">
        <v>179</v>
      </c>
      <c r="BS47" t="s">
        <v>788</v>
      </c>
      <c r="BU47" s="330" t="s">
        <v>883</v>
      </c>
    </row>
    <row r="48" spans="1:73">
      <c r="AN48" s="312" t="s">
        <v>884</v>
      </c>
      <c r="AO48" s="82" t="s">
        <v>603</v>
      </c>
      <c r="AP48" s="82">
        <v>0.02</v>
      </c>
      <c r="AQ48" s="82">
        <v>1.68</v>
      </c>
      <c r="AR48" s="313" t="s">
        <v>603</v>
      </c>
      <c r="BD48" s="11" t="s">
        <v>494</v>
      </c>
      <c r="BE48" s="27" t="s">
        <v>483</v>
      </c>
      <c r="BF48" s="114">
        <v>0.1055</v>
      </c>
      <c r="BG48" s="113" t="s">
        <v>496</v>
      </c>
      <c r="BR48" s="330" t="s">
        <v>181</v>
      </c>
      <c r="BS48" t="s">
        <v>788</v>
      </c>
      <c r="BU48" s="330" t="s">
        <v>885</v>
      </c>
    </row>
    <row r="49" spans="40:73">
      <c r="AN49" s="312" t="s">
        <v>886</v>
      </c>
      <c r="AO49" s="82" t="s">
        <v>603</v>
      </c>
      <c r="AP49" s="82">
        <v>0.02</v>
      </c>
      <c r="AQ49" s="82">
        <v>0.4</v>
      </c>
      <c r="AR49" s="313" t="s">
        <v>603</v>
      </c>
      <c r="BD49" s="11" t="s">
        <v>494</v>
      </c>
      <c r="BE49" s="27" t="s">
        <v>488</v>
      </c>
      <c r="BF49" s="114">
        <v>29.3</v>
      </c>
      <c r="BG49" s="113" t="s">
        <v>497</v>
      </c>
      <c r="BR49" s="330" t="s">
        <v>183</v>
      </c>
      <c r="BS49" t="s">
        <v>788</v>
      </c>
      <c r="BU49" s="330" t="s">
        <v>887</v>
      </c>
    </row>
    <row r="50" spans="40:73" ht="16" thickBot="1">
      <c r="AN50" s="312" t="s">
        <v>888</v>
      </c>
      <c r="AO50" s="82" t="s">
        <v>603</v>
      </c>
      <c r="AP50" s="82">
        <v>0.02</v>
      </c>
      <c r="AQ50" s="82">
        <v>0.89</v>
      </c>
      <c r="AR50" s="313" t="s">
        <v>603</v>
      </c>
      <c r="BD50" s="121"/>
      <c r="BE50" s="122"/>
      <c r="BF50" s="122"/>
      <c r="BG50" s="122"/>
      <c r="BR50" s="330" t="s">
        <v>185</v>
      </c>
      <c r="BS50" t="s">
        <v>788</v>
      </c>
      <c r="BU50" s="330" t="s">
        <v>889</v>
      </c>
    </row>
    <row r="51" spans="40:73" ht="16" thickBot="1">
      <c r="AN51" s="312" t="s">
        <v>890</v>
      </c>
      <c r="AO51" s="82" t="s">
        <v>603</v>
      </c>
      <c r="AP51" s="82">
        <v>0.02</v>
      </c>
      <c r="AQ51" s="82">
        <v>0.74</v>
      </c>
      <c r="AR51" s="313" t="s">
        <v>603</v>
      </c>
      <c r="BD51" s="155" t="s">
        <v>498</v>
      </c>
      <c r="BE51" s="156"/>
      <c r="BF51" s="156"/>
      <c r="BG51" s="157"/>
      <c r="BR51" s="330" t="s">
        <v>187</v>
      </c>
      <c r="BS51" t="s">
        <v>788</v>
      </c>
      <c r="BU51" s="330" t="s">
        <v>891</v>
      </c>
    </row>
    <row r="52" spans="40:73">
      <c r="AN52" s="312" t="s">
        <v>892</v>
      </c>
      <c r="AO52" s="82" t="s">
        <v>603</v>
      </c>
      <c r="AP52" s="82">
        <v>0.02</v>
      </c>
      <c r="AQ52" s="82">
        <v>0.64</v>
      </c>
      <c r="AR52" s="313" t="s">
        <v>603</v>
      </c>
      <c r="BD52" s="128" t="s">
        <v>607</v>
      </c>
      <c r="BE52" s="129" t="s">
        <v>608</v>
      </c>
      <c r="BF52" s="129" t="s">
        <v>609</v>
      </c>
      <c r="BG52" s="130" t="s">
        <v>50</v>
      </c>
      <c r="BR52" s="331" t="s">
        <v>189</v>
      </c>
      <c r="BS52" t="s">
        <v>788</v>
      </c>
      <c r="BU52" s="330" t="s">
        <v>893</v>
      </c>
    </row>
    <row r="53" spans="40:73">
      <c r="AN53" s="312" t="s">
        <v>894</v>
      </c>
      <c r="AO53" s="82" t="s">
        <v>603</v>
      </c>
      <c r="AP53" s="82">
        <v>0.02</v>
      </c>
      <c r="AQ53" s="82">
        <v>2.23</v>
      </c>
      <c r="AR53" s="313" t="s">
        <v>603</v>
      </c>
      <c r="BD53" s="113" t="s">
        <v>499</v>
      </c>
      <c r="BE53" s="113" t="s">
        <v>500</v>
      </c>
      <c r="BF53" s="114">
        <v>1.609</v>
      </c>
      <c r="BG53" s="27" t="s">
        <v>501</v>
      </c>
      <c r="BR53" s="330" t="s">
        <v>191</v>
      </c>
      <c r="BS53" t="s">
        <v>788</v>
      </c>
      <c r="BU53" s="330" t="s">
        <v>895</v>
      </c>
    </row>
    <row r="54" spans="40:73">
      <c r="AN54" s="312" t="s">
        <v>896</v>
      </c>
      <c r="AO54" s="82" t="s">
        <v>603</v>
      </c>
      <c r="AP54" s="82">
        <v>0.02</v>
      </c>
      <c r="AQ54" s="82">
        <v>1.92</v>
      </c>
      <c r="AR54" s="313" t="s">
        <v>603</v>
      </c>
      <c r="BD54" s="113" t="s">
        <v>502</v>
      </c>
      <c r="BE54" s="113" t="s">
        <v>503</v>
      </c>
      <c r="BF54" s="114">
        <v>1.1499999999999999</v>
      </c>
      <c r="BG54" s="27" t="s">
        <v>504</v>
      </c>
      <c r="BR54" t="s">
        <v>193</v>
      </c>
      <c r="BS54" t="s">
        <v>788</v>
      </c>
      <c r="BU54" s="330" t="s">
        <v>897</v>
      </c>
    </row>
    <row r="55" spans="40:73">
      <c r="AN55" s="312" t="s">
        <v>898</v>
      </c>
      <c r="AO55" s="82" t="s">
        <v>603</v>
      </c>
      <c r="AP55" s="82">
        <v>0.02</v>
      </c>
      <c r="AQ55" s="82">
        <v>0.87</v>
      </c>
      <c r="AR55" s="313" t="s">
        <v>603</v>
      </c>
      <c r="BD55" s="113" t="s">
        <v>505</v>
      </c>
      <c r="BE55" s="113" t="s">
        <v>503</v>
      </c>
      <c r="BF55" s="114">
        <f>ROUND(1/BF53,3)</f>
        <v>0.622</v>
      </c>
      <c r="BG55" s="27" t="s">
        <v>506</v>
      </c>
      <c r="BR55" t="s">
        <v>195</v>
      </c>
      <c r="BS55" t="s">
        <v>788</v>
      </c>
      <c r="BU55" s="330" t="s">
        <v>899</v>
      </c>
    </row>
    <row r="56" spans="40:73" ht="16" thickBot="1">
      <c r="AN56" s="312" t="s">
        <v>900</v>
      </c>
      <c r="AO56" s="82" t="s">
        <v>603</v>
      </c>
      <c r="AP56" s="82">
        <v>0.02</v>
      </c>
      <c r="AQ56" s="82" t="s">
        <v>603</v>
      </c>
      <c r="AR56" s="313" t="s">
        <v>603</v>
      </c>
      <c r="BD56" s="121"/>
      <c r="BE56" s="121"/>
      <c r="BF56" s="131"/>
      <c r="BG56" s="131"/>
      <c r="BR56" t="s">
        <v>197</v>
      </c>
      <c r="BS56" t="s">
        <v>788</v>
      </c>
      <c r="BU56" s="330" t="s">
        <v>901</v>
      </c>
    </row>
    <row r="57" spans="40:73" ht="16" thickBot="1">
      <c r="AN57" s="312" t="s">
        <v>138</v>
      </c>
      <c r="AO57" s="82">
        <v>0.01</v>
      </c>
      <c r="AP57" s="82">
        <v>0.02</v>
      </c>
      <c r="AQ57" s="82" t="s">
        <v>603</v>
      </c>
      <c r="AR57" s="313" t="s">
        <v>603</v>
      </c>
      <c r="BD57" s="132" t="s">
        <v>507</v>
      </c>
      <c r="BE57" s="133"/>
      <c r="BF57" s="131"/>
      <c r="BG57" s="123"/>
      <c r="BR57" t="s">
        <v>199</v>
      </c>
      <c r="BS57" t="s">
        <v>788</v>
      </c>
      <c r="BU57" s="330" t="s">
        <v>902</v>
      </c>
    </row>
    <row r="58" spans="40:73">
      <c r="AN58" s="312" t="s">
        <v>903</v>
      </c>
      <c r="AO58" s="82">
        <v>0.01</v>
      </c>
      <c r="AP58" s="82">
        <v>0.02</v>
      </c>
      <c r="AQ58" s="82" t="s">
        <v>603</v>
      </c>
      <c r="AR58" s="313" t="s">
        <v>603</v>
      </c>
      <c r="BD58" s="125" t="s">
        <v>904</v>
      </c>
      <c r="BE58" s="127">
        <v>1000</v>
      </c>
      <c r="BF58" s="131"/>
      <c r="BG58" s="123"/>
      <c r="BR58" t="s">
        <v>201</v>
      </c>
      <c r="BS58" t="s">
        <v>788</v>
      </c>
      <c r="BU58" s="330" t="s">
        <v>905</v>
      </c>
    </row>
    <row r="59" spans="40:73">
      <c r="AN59" s="312" t="s">
        <v>754</v>
      </c>
      <c r="AO59" s="82">
        <v>0.1</v>
      </c>
      <c r="AP59" s="82">
        <v>0.02</v>
      </c>
      <c r="AQ59" s="82">
        <v>2.21</v>
      </c>
      <c r="AR59" s="313" t="s">
        <v>603</v>
      </c>
      <c r="BD59" s="11" t="s">
        <v>906</v>
      </c>
      <c r="BE59" s="120">
        <v>1000000</v>
      </c>
      <c r="BF59" s="131"/>
      <c r="BG59" s="123"/>
      <c r="BR59" t="s">
        <v>203</v>
      </c>
      <c r="BS59" t="s">
        <v>788</v>
      </c>
      <c r="BU59" s="330" t="s">
        <v>907</v>
      </c>
    </row>
    <row r="60" spans="40:73">
      <c r="AN60" s="312" t="s">
        <v>908</v>
      </c>
      <c r="AO60" s="315">
        <v>0</v>
      </c>
      <c r="AP60" s="82">
        <v>0.02</v>
      </c>
      <c r="AQ60" s="82" t="s">
        <v>603</v>
      </c>
      <c r="AR60" s="313" t="s">
        <v>603</v>
      </c>
      <c r="BD60" s="11" t="s">
        <v>909</v>
      </c>
      <c r="BE60" s="120">
        <v>1000000000</v>
      </c>
      <c r="BF60" s="131"/>
      <c r="BG60" s="123"/>
      <c r="BR60" t="s">
        <v>205</v>
      </c>
      <c r="BS60" t="s">
        <v>788</v>
      </c>
      <c r="BU60" s="330" t="s">
        <v>910</v>
      </c>
    </row>
    <row r="61" spans="40:73">
      <c r="AN61" s="312" t="s">
        <v>911</v>
      </c>
      <c r="AO61" s="82">
        <v>0.03</v>
      </c>
      <c r="AP61" s="82">
        <v>0.02</v>
      </c>
      <c r="AQ61" s="82">
        <v>0.7</v>
      </c>
      <c r="AR61" s="313" t="s">
        <v>603</v>
      </c>
      <c r="BD61" s="11" t="s">
        <v>912</v>
      </c>
      <c r="BE61" s="120">
        <v>1000000000000</v>
      </c>
      <c r="BF61" s="131"/>
      <c r="BG61" s="123"/>
      <c r="BR61" t="s">
        <v>207</v>
      </c>
      <c r="BS61" t="s">
        <v>788</v>
      </c>
      <c r="BU61" s="330" t="s">
        <v>913</v>
      </c>
    </row>
    <row r="62" spans="40:73">
      <c r="AN62" s="312" t="s">
        <v>914</v>
      </c>
      <c r="AO62" s="82" t="s">
        <v>603</v>
      </c>
      <c r="AP62" s="82">
        <v>0.02</v>
      </c>
      <c r="AQ62" s="82" t="s">
        <v>603</v>
      </c>
      <c r="AR62" s="313" t="s">
        <v>603</v>
      </c>
      <c r="BD62" s="11" t="s">
        <v>915</v>
      </c>
      <c r="BE62" s="11">
        <v>12</v>
      </c>
      <c r="BF62" s="131"/>
      <c r="BG62" s="123"/>
      <c r="BR62" t="s">
        <v>209</v>
      </c>
      <c r="BS62" t="s">
        <v>788</v>
      </c>
      <c r="BU62" s="330" t="s">
        <v>916</v>
      </c>
    </row>
    <row r="63" spans="40:73">
      <c r="AN63" s="312" t="s">
        <v>917</v>
      </c>
      <c r="AO63" s="82">
        <v>0.05</v>
      </c>
      <c r="AP63" s="82">
        <v>0.02</v>
      </c>
      <c r="AQ63" s="82" t="s">
        <v>603</v>
      </c>
      <c r="AR63" s="313" t="s">
        <v>603</v>
      </c>
      <c r="BD63" s="11" t="s">
        <v>918</v>
      </c>
      <c r="BE63" s="11">
        <v>44</v>
      </c>
      <c r="BF63" s="131"/>
      <c r="BG63" s="123"/>
      <c r="BR63" t="s">
        <v>211</v>
      </c>
      <c r="BS63" t="s">
        <v>788</v>
      </c>
      <c r="BU63" s="330" t="s">
        <v>919</v>
      </c>
    </row>
    <row r="64" spans="40:73">
      <c r="AN64" s="312" t="s">
        <v>920</v>
      </c>
      <c r="AO64" s="82" t="s">
        <v>603</v>
      </c>
      <c r="AP64" s="82">
        <v>0.02</v>
      </c>
      <c r="AQ64" s="82">
        <v>0.28999999999999998</v>
      </c>
      <c r="AR64" s="313" t="s">
        <v>603</v>
      </c>
      <c r="BR64" t="s">
        <v>213</v>
      </c>
      <c r="BS64" t="s">
        <v>788</v>
      </c>
      <c r="BU64" s="330" t="s">
        <v>921</v>
      </c>
    </row>
    <row r="65" spans="40:73" ht="16" thickBot="1">
      <c r="AN65" s="316" t="s">
        <v>922</v>
      </c>
      <c r="AO65" s="83" t="s">
        <v>603</v>
      </c>
      <c r="AP65" s="83">
        <v>0.18</v>
      </c>
      <c r="AQ65" s="83">
        <v>0.08</v>
      </c>
      <c r="AR65" s="317" t="s">
        <v>603</v>
      </c>
      <c r="BR65" t="s">
        <v>215</v>
      </c>
      <c r="BS65" t="s">
        <v>788</v>
      </c>
      <c r="BU65" s="330" t="s">
        <v>923</v>
      </c>
    </row>
    <row r="66" spans="40:73">
      <c r="BR66" t="s">
        <v>217</v>
      </c>
      <c r="BS66" t="s">
        <v>788</v>
      </c>
      <c r="BU66" s="330" t="s">
        <v>924</v>
      </c>
    </row>
    <row r="67" spans="40:73">
      <c r="BR67" t="s">
        <v>219</v>
      </c>
      <c r="BS67" t="s">
        <v>788</v>
      </c>
      <c r="BU67" s="330" t="s">
        <v>925</v>
      </c>
    </row>
    <row r="68" spans="40:73">
      <c r="BR68" t="s">
        <v>220</v>
      </c>
      <c r="BS68" t="s">
        <v>788</v>
      </c>
      <c r="BU68" s="330" t="s">
        <v>926</v>
      </c>
    </row>
    <row r="69" spans="40:73">
      <c r="BR69" t="s">
        <v>221</v>
      </c>
      <c r="BS69" t="s">
        <v>788</v>
      </c>
      <c r="BU69" s="330" t="s">
        <v>927</v>
      </c>
    </row>
    <row r="70" spans="40:73">
      <c r="BR70" t="s">
        <v>222</v>
      </c>
      <c r="BS70" t="s">
        <v>788</v>
      </c>
      <c r="BU70" s="330" t="s">
        <v>928</v>
      </c>
    </row>
    <row r="71" spans="40:73">
      <c r="BR71" t="s">
        <v>223</v>
      </c>
      <c r="BS71" t="s">
        <v>788</v>
      </c>
      <c r="BU71" s="330" t="s">
        <v>929</v>
      </c>
    </row>
    <row r="72" spans="40:73">
      <c r="BR72" t="s">
        <v>224</v>
      </c>
      <c r="BS72" t="s">
        <v>788</v>
      </c>
      <c r="BU72" s="330" t="s">
        <v>930</v>
      </c>
    </row>
    <row r="73" spans="40:73">
      <c r="BR73" t="s">
        <v>225</v>
      </c>
      <c r="BS73" t="s">
        <v>788</v>
      </c>
      <c r="BU73" s="330" t="s">
        <v>931</v>
      </c>
    </row>
    <row r="74" spans="40:73">
      <c r="BR74" t="s">
        <v>226</v>
      </c>
      <c r="BS74" t="s">
        <v>788</v>
      </c>
      <c r="BU74" s="330" t="s">
        <v>932</v>
      </c>
    </row>
    <row r="75" spans="40:73">
      <c r="BR75" t="s">
        <v>227</v>
      </c>
      <c r="BS75" t="s">
        <v>788</v>
      </c>
      <c r="BU75" s="330" t="s">
        <v>933</v>
      </c>
    </row>
    <row r="76" spans="40:73">
      <c r="BR76" t="s">
        <v>228</v>
      </c>
      <c r="BS76" t="s">
        <v>788</v>
      </c>
      <c r="BU76" s="330" t="s">
        <v>934</v>
      </c>
    </row>
    <row r="77" spans="40:73">
      <c r="BR77" t="s">
        <v>229</v>
      </c>
      <c r="BS77" t="s">
        <v>788</v>
      </c>
      <c r="BU77" s="330" t="s">
        <v>935</v>
      </c>
    </row>
    <row r="78" spans="40:73">
      <c r="BR78" t="s">
        <v>230</v>
      </c>
      <c r="BS78" t="s">
        <v>788</v>
      </c>
      <c r="BU78" s="330" t="s">
        <v>936</v>
      </c>
    </row>
    <row r="79" spans="40:73">
      <c r="BR79" t="s">
        <v>231</v>
      </c>
      <c r="BS79" t="s">
        <v>788</v>
      </c>
      <c r="BU79" s="330" t="s">
        <v>937</v>
      </c>
    </row>
    <row r="80" spans="40:73">
      <c r="BR80" t="s">
        <v>232</v>
      </c>
      <c r="BS80" t="s">
        <v>788</v>
      </c>
      <c r="BU80" s="330" t="s">
        <v>938</v>
      </c>
    </row>
    <row r="81" spans="70:73">
      <c r="BR81" t="s">
        <v>233</v>
      </c>
      <c r="BS81" t="s">
        <v>788</v>
      </c>
      <c r="BU81" s="330" t="s">
        <v>939</v>
      </c>
    </row>
    <row r="82" spans="70:73">
      <c r="BR82" t="s">
        <v>234</v>
      </c>
      <c r="BS82" t="s">
        <v>788</v>
      </c>
      <c r="BU82" s="330" t="s">
        <v>940</v>
      </c>
    </row>
    <row r="83" spans="70:73">
      <c r="BR83" t="s">
        <v>235</v>
      </c>
      <c r="BS83" t="s">
        <v>788</v>
      </c>
      <c r="BU83" s="330" t="s">
        <v>941</v>
      </c>
    </row>
    <row r="84" spans="70:73">
      <c r="BR84" t="s">
        <v>236</v>
      </c>
      <c r="BS84" t="s">
        <v>788</v>
      </c>
      <c r="BU84" s="330" t="s">
        <v>942</v>
      </c>
    </row>
    <row r="85" spans="70:73">
      <c r="BR85" t="s">
        <v>237</v>
      </c>
      <c r="BS85" t="s">
        <v>788</v>
      </c>
      <c r="BU85" s="330" t="s">
        <v>943</v>
      </c>
    </row>
    <row r="86" spans="70:73">
      <c r="BR86" t="s">
        <v>238</v>
      </c>
      <c r="BS86" t="s">
        <v>788</v>
      </c>
      <c r="BU86" s="330" t="s">
        <v>944</v>
      </c>
    </row>
    <row r="87" spans="70:73">
      <c r="BR87" t="s">
        <v>239</v>
      </c>
      <c r="BS87" t="s">
        <v>788</v>
      </c>
      <c r="BU87" s="330" t="s">
        <v>945</v>
      </c>
    </row>
    <row r="88" spans="70:73">
      <c r="BR88" t="s">
        <v>240</v>
      </c>
      <c r="BS88" t="s">
        <v>788</v>
      </c>
      <c r="BU88" s="330" t="s">
        <v>946</v>
      </c>
    </row>
    <row r="89" spans="70:73">
      <c r="BR89" t="s">
        <v>241</v>
      </c>
      <c r="BS89" t="s">
        <v>788</v>
      </c>
      <c r="BU89" s="330" t="s">
        <v>947</v>
      </c>
    </row>
    <row r="90" spans="70:73">
      <c r="BR90" t="s">
        <v>242</v>
      </c>
      <c r="BS90" t="s">
        <v>788</v>
      </c>
      <c r="BU90" s="330" t="s">
        <v>948</v>
      </c>
    </row>
    <row r="91" spans="70:73">
      <c r="BR91" t="s">
        <v>243</v>
      </c>
      <c r="BS91" t="s">
        <v>788</v>
      </c>
      <c r="BU91" s="330" t="s">
        <v>949</v>
      </c>
    </row>
    <row r="92" spans="70:73">
      <c r="BR92" t="s">
        <v>244</v>
      </c>
      <c r="BS92" t="s">
        <v>788</v>
      </c>
      <c r="BU92" s="330" t="s">
        <v>950</v>
      </c>
    </row>
    <row r="93" spans="70:73">
      <c r="BR93" t="s">
        <v>245</v>
      </c>
      <c r="BS93" t="s">
        <v>788</v>
      </c>
      <c r="BU93" s="330" t="s">
        <v>951</v>
      </c>
    </row>
    <row r="94" spans="70:73">
      <c r="BR94" t="s">
        <v>246</v>
      </c>
      <c r="BS94" t="s">
        <v>788</v>
      </c>
      <c r="BU94" s="330" t="s">
        <v>952</v>
      </c>
    </row>
    <row r="95" spans="70:73">
      <c r="BR95" t="s">
        <v>247</v>
      </c>
      <c r="BS95" t="s">
        <v>788</v>
      </c>
      <c r="BU95" s="330" t="s">
        <v>953</v>
      </c>
    </row>
    <row r="96" spans="70:73">
      <c r="BR96" t="s">
        <v>248</v>
      </c>
      <c r="BS96" t="s">
        <v>788</v>
      </c>
      <c r="BU96" s="330" t="s">
        <v>954</v>
      </c>
    </row>
    <row r="97" spans="70:73">
      <c r="BR97" t="s">
        <v>249</v>
      </c>
      <c r="BS97" t="s">
        <v>788</v>
      </c>
      <c r="BU97" s="330" t="s">
        <v>955</v>
      </c>
    </row>
    <row r="98" spans="70:73">
      <c r="BR98" t="s">
        <v>250</v>
      </c>
      <c r="BS98" t="s">
        <v>788</v>
      </c>
      <c r="BU98" s="330" t="s">
        <v>956</v>
      </c>
    </row>
    <row r="99" spans="70:73">
      <c r="BR99" t="s">
        <v>251</v>
      </c>
      <c r="BS99" t="s">
        <v>788</v>
      </c>
      <c r="BU99" s="330" t="s">
        <v>957</v>
      </c>
    </row>
    <row r="100" spans="70:73">
      <c r="BR100" t="s">
        <v>252</v>
      </c>
      <c r="BS100" t="s">
        <v>788</v>
      </c>
      <c r="BU100" s="330" t="s">
        <v>958</v>
      </c>
    </row>
    <row r="101" spans="70:73">
      <c r="BR101" t="s">
        <v>253</v>
      </c>
      <c r="BS101" t="s">
        <v>788</v>
      </c>
      <c r="BU101" s="330" t="s">
        <v>959</v>
      </c>
    </row>
    <row r="102" spans="70:73">
      <c r="BR102" t="s">
        <v>254</v>
      </c>
      <c r="BS102" t="s">
        <v>788</v>
      </c>
      <c r="BU102" s="330" t="s">
        <v>960</v>
      </c>
    </row>
    <row r="103" spans="70:73">
      <c r="BR103" t="s">
        <v>255</v>
      </c>
      <c r="BS103" t="s">
        <v>788</v>
      </c>
      <c r="BU103" s="330" t="s">
        <v>961</v>
      </c>
    </row>
    <row r="104" spans="70:73">
      <c r="BR104" t="s">
        <v>256</v>
      </c>
      <c r="BS104" t="s">
        <v>788</v>
      </c>
      <c r="BU104" s="330" t="s">
        <v>962</v>
      </c>
    </row>
    <row r="105" spans="70:73">
      <c r="BR105" t="s">
        <v>257</v>
      </c>
      <c r="BS105" t="s">
        <v>788</v>
      </c>
      <c r="BU105" s="330" t="s">
        <v>963</v>
      </c>
    </row>
    <row r="106" spans="70:73">
      <c r="BR106" t="s">
        <v>258</v>
      </c>
      <c r="BS106" t="s">
        <v>788</v>
      </c>
      <c r="BU106" s="330" t="s">
        <v>964</v>
      </c>
    </row>
    <row r="107" spans="70:73">
      <c r="BR107" t="s">
        <v>259</v>
      </c>
      <c r="BS107" t="s">
        <v>788</v>
      </c>
      <c r="BU107" s="330" t="s">
        <v>965</v>
      </c>
    </row>
    <row r="108" spans="70:73">
      <c r="BR108" t="s">
        <v>260</v>
      </c>
      <c r="BS108" t="s">
        <v>788</v>
      </c>
      <c r="BU108" s="330" t="s">
        <v>966</v>
      </c>
    </row>
    <row r="109" spans="70:73">
      <c r="BR109" t="s">
        <v>261</v>
      </c>
      <c r="BS109" t="s">
        <v>788</v>
      </c>
      <c r="BU109" s="330" t="s">
        <v>967</v>
      </c>
    </row>
    <row r="110" spans="70:73">
      <c r="BR110" t="s">
        <v>262</v>
      </c>
      <c r="BS110" t="s">
        <v>788</v>
      </c>
      <c r="BU110" s="330" t="s">
        <v>968</v>
      </c>
    </row>
    <row r="111" spans="70:73">
      <c r="BR111" t="s">
        <v>263</v>
      </c>
      <c r="BS111" t="s">
        <v>788</v>
      </c>
      <c r="BU111" s="330" t="s">
        <v>969</v>
      </c>
    </row>
    <row r="112" spans="70:73">
      <c r="BR112" t="s">
        <v>264</v>
      </c>
      <c r="BS112" t="s">
        <v>788</v>
      </c>
      <c r="BU112" s="330" t="s">
        <v>970</v>
      </c>
    </row>
    <row r="113" spans="70:73">
      <c r="BR113" t="s">
        <v>265</v>
      </c>
      <c r="BS113" t="s">
        <v>788</v>
      </c>
      <c r="BU113" s="330" t="s">
        <v>971</v>
      </c>
    </row>
    <row r="114" spans="70:73">
      <c r="BR114" t="s">
        <v>266</v>
      </c>
      <c r="BS114" t="s">
        <v>788</v>
      </c>
      <c r="BU114" s="330" t="s">
        <v>972</v>
      </c>
    </row>
    <row r="115" spans="70:73">
      <c r="BR115" t="s">
        <v>267</v>
      </c>
      <c r="BS115" t="s">
        <v>788</v>
      </c>
      <c r="BU115" s="330" t="s">
        <v>973</v>
      </c>
    </row>
    <row r="116" spans="70:73">
      <c r="BR116" t="s">
        <v>268</v>
      </c>
      <c r="BS116" t="s">
        <v>788</v>
      </c>
      <c r="BU116" s="330" t="s">
        <v>974</v>
      </c>
    </row>
    <row r="117" spans="70:73">
      <c r="BR117" t="s">
        <v>269</v>
      </c>
      <c r="BS117" t="s">
        <v>788</v>
      </c>
      <c r="BU117" s="330" t="s">
        <v>975</v>
      </c>
    </row>
    <row r="118" spans="70:73">
      <c r="BR118" t="s">
        <v>270</v>
      </c>
      <c r="BS118" t="s">
        <v>788</v>
      </c>
      <c r="BU118" s="330" t="s">
        <v>976</v>
      </c>
    </row>
    <row r="119" spans="70:73">
      <c r="BR119" t="s">
        <v>271</v>
      </c>
      <c r="BS119" t="s">
        <v>788</v>
      </c>
      <c r="BU119" s="330" t="s">
        <v>977</v>
      </c>
    </row>
    <row r="120" spans="70:73">
      <c r="BR120" t="s">
        <v>272</v>
      </c>
      <c r="BS120" t="s">
        <v>788</v>
      </c>
      <c r="BU120" s="330" t="s">
        <v>978</v>
      </c>
    </row>
    <row r="121" spans="70:73">
      <c r="BR121" t="s">
        <v>273</v>
      </c>
      <c r="BS121" t="s">
        <v>788</v>
      </c>
      <c r="BU121" s="330" t="s">
        <v>979</v>
      </c>
    </row>
    <row r="122" spans="70:73">
      <c r="BR122" t="s">
        <v>274</v>
      </c>
      <c r="BS122" t="s">
        <v>788</v>
      </c>
      <c r="BU122" s="330" t="s">
        <v>980</v>
      </c>
    </row>
    <row r="123" spans="70:73">
      <c r="BR123" t="s">
        <v>275</v>
      </c>
      <c r="BS123" t="s">
        <v>788</v>
      </c>
      <c r="BU123" s="330" t="s">
        <v>981</v>
      </c>
    </row>
    <row r="124" spans="70:73">
      <c r="BR124" t="s">
        <v>276</v>
      </c>
      <c r="BS124" t="s">
        <v>788</v>
      </c>
      <c r="BU124" s="330" t="s">
        <v>982</v>
      </c>
    </row>
    <row r="125" spans="70:73">
      <c r="BR125" t="s">
        <v>277</v>
      </c>
      <c r="BS125" t="s">
        <v>788</v>
      </c>
      <c r="BU125" s="330" t="s">
        <v>983</v>
      </c>
    </row>
    <row r="126" spans="70:73">
      <c r="BR126" t="s">
        <v>278</v>
      </c>
      <c r="BS126" t="s">
        <v>788</v>
      </c>
      <c r="BU126" s="330" t="s">
        <v>984</v>
      </c>
    </row>
    <row r="127" spans="70:73">
      <c r="BR127" t="s">
        <v>279</v>
      </c>
      <c r="BS127" t="s">
        <v>788</v>
      </c>
      <c r="BU127" s="330" t="s">
        <v>985</v>
      </c>
    </row>
    <row r="128" spans="70:73">
      <c r="BR128" t="s">
        <v>280</v>
      </c>
      <c r="BS128" t="s">
        <v>788</v>
      </c>
      <c r="BU128" s="330" t="s">
        <v>986</v>
      </c>
    </row>
    <row r="129" spans="70:73">
      <c r="BR129" t="s">
        <v>281</v>
      </c>
      <c r="BS129" t="s">
        <v>788</v>
      </c>
      <c r="BU129" s="330" t="s">
        <v>987</v>
      </c>
    </row>
    <row r="130" spans="70:73">
      <c r="BR130" t="s">
        <v>282</v>
      </c>
      <c r="BS130" t="s">
        <v>788</v>
      </c>
      <c r="BU130" s="330" t="s">
        <v>988</v>
      </c>
    </row>
    <row r="131" spans="70:73">
      <c r="BR131" t="s">
        <v>283</v>
      </c>
      <c r="BS131" t="s">
        <v>788</v>
      </c>
      <c r="BU131" s="330" t="s">
        <v>989</v>
      </c>
    </row>
    <row r="132" spans="70:73">
      <c r="BR132" t="s">
        <v>284</v>
      </c>
      <c r="BS132" t="s">
        <v>788</v>
      </c>
      <c r="BU132" s="330" t="s">
        <v>990</v>
      </c>
    </row>
    <row r="133" spans="70:73">
      <c r="BR133" t="s">
        <v>285</v>
      </c>
      <c r="BS133" t="s">
        <v>788</v>
      </c>
      <c r="BU133" s="330" t="s">
        <v>991</v>
      </c>
    </row>
    <row r="134" spans="70:73">
      <c r="BR134" t="s">
        <v>286</v>
      </c>
      <c r="BS134" t="s">
        <v>788</v>
      </c>
      <c r="BU134" s="330" t="s">
        <v>992</v>
      </c>
    </row>
    <row r="135" spans="70:73">
      <c r="BR135" t="s">
        <v>287</v>
      </c>
      <c r="BS135" t="s">
        <v>788</v>
      </c>
      <c r="BU135" s="330" t="s">
        <v>993</v>
      </c>
    </row>
    <row r="136" spans="70:73">
      <c r="BR136" t="s">
        <v>288</v>
      </c>
      <c r="BS136" t="s">
        <v>788</v>
      </c>
      <c r="BU136" s="330" t="s">
        <v>994</v>
      </c>
    </row>
    <row r="137" spans="70:73">
      <c r="BR137" t="s">
        <v>289</v>
      </c>
      <c r="BS137" t="s">
        <v>788</v>
      </c>
      <c r="BU137" s="330" t="s">
        <v>995</v>
      </c>
    </row>
    <row r="138" spans="70:73">
      <c r="BR138" t="s">
        <v>290</v>
      </c>
      <c r="BS138" t="s">
        <v>788</v>
      </c>
      <c r="BU138" s="330" t="s">
        <v>996</v>
      </c>
    </row>
    <row r="139" spans="70:73">
      <c r="BR139" t="s">
        <v>291</v>
      </c>
      <c r="BS139" t="s">
        <v>788</v>
      </c>
      <c r="BU139" s="330" t="s">
        <v>997</v>
      </c>
    </row>
    <row r="140" spans="70:73">
      <c r="BR140" t="s">
        <v>292</v>
      </c>
      <c r="BS140" t="s">
        <v>788</v>
      </c>
      <c r="BU140" s="330" t="s">
        <v>998</v>
      </c>
    </row>
    <row r="141" spans="70:73">
      <c r="BR141" t="s">
        <v>293</v>
      </c>
      <c r="BS141" t="s">
        <v>788</v>
      </c>
      <c r="BU141" s="330" t="s">
        <v>999</v>
      </c>
    </row>
    <row r="142" spans="70:73">
      <c r="BR142" t="s">
        <v>294</v>
      </c>
      <c r="BS142" t="s">
        <v>788</v>
      </c>
      <c r="BU142" s="330" t="s">
        <v>1000</v>
      </c>
    </row>
    <row r="143" spans="70:73">
      <c r="BR143" t="s">
        <v>295</v>
      </c>
      <c r="BS143" t="s">
        <v>788</v>
      </c>
      <c r="BU143" s="330" t="s">
        <v>1001</v>
      </c>
    </row>
    <row r="144" spans="70:73">
      <c r="BR144" t="s">
        <v>296</v>
      </c>
      <c r="BS144" t="s">
        <v>788</v>
      </c>
      <c r="BU144" s="330" t="s">
        <v>1002</v>
      </c>
    </row>
    <row r="145" spans="70:73">
      <c r="BR145" t="s">
        <v>297</v>
      </c>
      <c r="BS145" t="s">
        <v>788</v>
      </c>
      <c r="BU145" s="330" t="s">
        <v>1003</v>
      </c>
    </row>
    <row r="146" spans="70:73">
      <c r="BR146" t="s">
        <v>298</v>
      </c>
      <c r="BS146" t="s">
        <v>788</v>
      </c>
      <c r="BU146" s="330" t="s">
        <v>1004</v>
      </c>
    </row>
    <row r="147" spans="70:73">
      <c r="BR147" t="s">
        <v>299</v>
      </c>
      <c r="BS147" t="s">
        <v>788</v>
      </c>
      <c r="BU147" s="330" t="s">
        <v>1005</v>
      </c>
    </row>
    <row r="148" spans="70:73">
      <c r="BR148" t="s">
        <v>300</v>
      </c>
      <c r="BS148" t="s">
        <v>788</v>
      </c>
      <c r="BU148" s="330" t="s">
        <v>1006</v>
      </c>
    </row>
    <row r="149" spans="70:73">
      <c r="BR149" t="s">
        <v>301</v>
      </c>
      <c r="BS149" t="s">
        <v>788</v>
      </c>
      <c r="BU149" s="330" t="s">
        <v>1007</v>
      </c>
    </row>
    <row r="150" spans="70:73">
      <c r="BR150" t="s">
        <v>302</v>
      </c>
      <c r="BS150" t="s">
        <v>788</v>
      </c>
      <c r="BU150" s="330" t="s">
        <v>1008</v>
      </c>
    </row>
    <row r="151" spans="70:73">
      <c r="BR151" t="s">
        <v>303</v>
      </c>
      <c r="BS151" t="s">
        <v>788</v>
      </c>
      <c r="BU151" s="330" t="s">
        <v>1009</v>
      </c>
    </row>
    <row r="152" spans="70:73">
      <c r="BR152" t="s">
        <v>304</v>
      </c>
      <c r="BS152" t="s">
        <v>788</v>
      </c>
      <c r="BU152" s="330" t="s">
        <v>1010</v>
      </c>
    </row>
    <row r="153" spans="70:73">
      <c r="BR153" t="s">
        <v>305</v>
      </c>
      <c r="BS153" t="s">
        <v>788</v>
      </c>
      <c r="BU153" s="330" t="s">
        <v>1011</v>
      </c>
    </row>
    <row r="154" spans="70:73">
      <c r="BR154" t="s">
        <v>306</v>
      </c>
      <c r="BS154" t="s">
        <v>788</v>
      </c>
      <c r="BU154" s="330" t="s">
        <v>1012</v>
      </c>
    </row>
    <row r="155" spans="70:73">
      <c r="BR155" t="s">
        <v>307</v>
      </c>
      <c r="BS155" t="s">
        <v>788</v>
      </c>
      <c r="BU155" s="330" t="s">
        <v>1013</v>
      </c>
    </row>
    <row r="156" spans="70:73">
      <c r="BR156" t="s">
        <v>308</v>
      </c>
      <c r="BS156" t="s">
        <v>788</v>
      </c>
      <c r="BU156" s="330" t="s">
        <v>1014</v>
      </c>
    </row>
    <row r="157" spans="70:73">
      <c r="BR157" t="s">
        <v>309</v>
      </c>
      <c r="BS157" t="s">
        <v>788</v>
      </c>
      <c r="BU157" s="330" t="s">
        <v>1015</v>
      </c>
    </row>
    <row r="158" spans="70:73">
      <c r="BR158" t="s">
        <v>310</v>
      </c>
      <c r="BS158" t="s">
        <v>788</v>
      </c>
      <c r="BU158" s="330" t="s">
        <v>1016</v>
      </c>
    </row>
    <row r="159" spans="70:73">
      <c r="BR159" t="s">
        <v>311</v>
      </c>
      <c r="BS159" t="s">
        <v>788</v>
      </c>
      <c r="BU159" s="330" t="s">
        <v>1017</v>
      </c>
    </row>
    <row r="160" spans="70:73">
      <c r="BR160" t="s">
        <v>312</v>
      </c>
      <c r="BS160" t="s">
        <v>788</v>
      </c>
      <c r="BU160" s="330" t="s">
        <v>1018</v>
      </c>
    </row>
    <row r="161" spans="70:73">
      <c r="BR161" t="s">
        <v>313</v>
      </c>
      <c r="BS161" t="s">
        <v>788</v>
      </c>
      <c r="BU161" s="330" t="s">
        <v>1019</v>
      </c>
    </row>
    <row r="162" spans="70:73">
      <c r="BR162" t="s">
        <v>314</v>
      </c>
      <c r="BS162" t="s">
        <v>788</v>
      </c>
      <c r="BU162" s="330" t="s">
        <v>1020</v>
      </c>
    </row>
    <row r="163" spans="70:73">
      <c r="BR163" t="s">
        <v>315</v>
      </c>
      <c r="BS163" t="s">
        <v>788</v>
      </c>
      <c r="BU163" s="330" t="s">
        <v>1021</v>
      </c>
    </row>
    <row r="164" spans="70:73">
      <c r="BR164" t="s">
        <v>316</v>
      </c>
      <c r="BS164" t="s">
        <v>788</v>
      </c>
      <c r="BU164" s="330" t="s">
        <v>1022</v>
      </c>
    </row>
    <row r="165" spans="70:73">
      <c r="BR165" t="s">
        <v>317</v>
      </c>
      <c r="BS165" t="s">
        <v>788</v>
      </c>
      <c r="BU165" s="330" t="s">
        <v>1023</v>
      </c>
    </row>
    <row r="166" spans="70:73">
      <c r="BR166" t="s">
        <v>318</v>
      </c>
      <c r="BS166" t="s">
        <v>788</v>
      </c>
      <c r="BU166" s="330" t="s">
        <v>1024</v>
      </c>
    </row>
    <row r="167" spans="70:73">
      <c r="BR167" t="s">
        <v>319</v>
      </c>
      <c r="BS167" t="s">
        <v>788</v>
      </c>
      <c r="BU167" s="330" t="s">
        <v>1025</v>
      </c>
    </row>
    <row r="168" spans="70:73">
      <c r="BR168" t="s">
        <v>320</v>
      </c>
      <c r="BS168" t="s">
        <v>788</v>
      </c>
      <c r="BU168" s="330" t="s">
        <v>1026</v>
      </c>
    </row>
    <row r="169" spans="70:73">
      <c r="BR169" t="s">
        <v>321</v>
      </c>
      <c r="BS169" t="s">
        <v>788</v>
      </c>
      <c r="BU169" s="330" t="s">
        <v>1027</v>
      </c>
    </row>
    <row r="170" spans="70:73">
      <c r="BR170" t="s">
        <v>322</v>
      </c>
      <c r="BS170" t="s">
        <v>788</v>
      </c>
      <c r="BU170" s="330" t="s">
        <v>1028</v>
      </c>
    </row>
    <row r="171" spans="70:73">
      <c r="BR171" t="s">
        <v>323</v>
      </c>
      <c r="BS171" t="s">
        <v>788</v>
      </c>
      <c r="BU171" s="330" t="s">
        <v>1029</v>
      </c>
    </row>
    <row r="172" spans="70:73">
      <c r="BR172" t="s">
        <v>324</v>
      </c>
      <c r="BS172" t="s">
        <v>788</v>
      </c>
      <c r="BU172" s="330" t="s">
        <v>1030</v>
      </c>
    </row>
    <row r="173" spans="70:73">
      <c r="BR173" t="s">
        <v>325</v>
      </c>
      <c r="BS173" t="s">
        <v>788</v>
      </c>
      <c r="BU173" s="330" t="s">
        <v>1031</v>
      </c>
    </row>
    <row r="174" spans="70:73">
      <c r="BR174" t="s">
        <v>326</v>
      </c>
      <c r="BS174" t="s">
        <v>788</v>
      </c>
      <c r="BU174" s="330" t="s">
        <v>1032</v>
      </c>
    </row>
    <row r="175" spans="70:73">
      <c r="BR175" t="s">
        <v>327</v>
      </c>
      <c r="BS175" t="s">
        <v>788</v>
      </c>
      <c r="BU175" s="330" t="s">
        <v>1033</v>
      </c>
    </row>
    <row r="176" spans="70:73">
      <c r="BR176" t="s">
        <v>328</v>
      </c>
      <c r="BS176" t="s">
        <v>788</v>
      </c>
      <c r="BU176" s="330" t="s">
        <v>1034</v>
      </c>
    </row>
    <row r="177" spans="70:73">
      <c r="BR177" t="s">
        <v>329</v>
      </c>
      <c r="BS177" t="s">
        <v>788</v>
      </c>
      <c r="BU177" s="330" t="s">
        <v>1035</v>
      </c>
    </row>
    <row r="178" spans="70:73">
      <c r="BR178" t="s">
        <v>330</v>
      </c>
      <c r="BS178" t="s">
        <v>788</v>
      </c>
      <c r="BU178" s="330" t="s">
        <v>1036</v>
      </c>
    </row>
    <row r="179" spans="70:73">
      <c r="BR179" t="s">
        <v>331</v>
      </c>
      <c r="BS179" t="s">
        <v>788</v>
      </c>
      <c r="BU179" s="330" t="s">
        <v>1037</v>
      </c>
    </row>
    <row r="180" spans="70:73">
      <c r="BR180" t="s">
        <v>332</v>
      </c>
      <c r="BS180" t="s">
        <v>788</v>
      </c>
      <c r="BU180" s="330" t="s">
        <v>1038</v>
      </c>
    </row>
    <row r="181" spans="70:73">
      <c r="BR181" t="s">
        <v>333</v>
      </c>
      <c r="BS181" t="s">
        <v>788</v>
      </c>
      <c r="BU181" s="330" t="s">
        <v>1039</v>
      </c>
    </row>
    <row r="182" spans="70:73">
      <c r="BR182" t="s">
        <v>334</v>
      </c>
      <c r="BS182" t="s">
        <v>788</v>
      </c>
      <c r="BU182" s="330" t="s">
        <v>1040</v>
      </c>
    </row>
    <row r="183" spans="70:73">
      <c r="BR183" t="s">
        <v>335</v>
      </c>
      <c r="BS183" t="s">
        <v>788</v>
      </c>
      <c r="BU183" s="330" t="s">
        <v>1041</v>
      </c>
    </row>
    <row r="184" spans="70:73">
      <c r="BR184" t="s">
        <v>336</v>
      </c>
      <c r="BS184" t="s">
        <v>788</v>
      </c>
      <c r="BU184" s="330" t="s">
        <v>1042</v>
      </c>
    </row>
    <row r="185" spans="70:73">
      <c r="BR185" t="s">
        <v>337</v>
      </c>
      <c r="BS185" t="s">
        <v>788</v>
      </c>
      <c r="BU185" s="330" t="s">
        <v>1043</v>
      </c>
    </row>
    <row r="186" spans="70:73">
      <c r="BR186" t="s">
        <v>338</v>
      </c>
      <c r="BS186" t="s">
        <v>788</v>
      </c>
      <c r="BU186" s="330" t="s">
        <v>1044</v>
      </c>
    </row>
    <row r="187" spans="70:73">
      <c r="BR187" t="s">
        <v>339</v>
      </c>
      <c r="BS187" t="s">
        <v>788</v>
      </c>
      <c r="BU187" s="330" t="s">
        <v>1045</v>
      </c>
    </row>
    <row r="188" spans="70:73">
      <c r="BR188" t="s">
        <v>340</v>
      </c>
      <c r="BS188" t="s">
        <v>788</v>
      </c>
      <c r="BU188" s="330" t="s">
        <v>1046</v>
      </c>
    </row>
    <row r="189" spans="70:73">
      <c r="BR189" t="s">
        <v>341</v>
      </c>
      <c r="BS189" t="s">
        <v>788</v>
      </c>
      <c r="BU189" s="330" t="s">
        <v>1047</v>
      </c>
    </row>
    <row r="190" spans="70:73">
      <c r="BR190" t="s">
        <v>342</v>
      </c>
      <c r="BS190" t="s">
        <v>788</v>
      </c>
      <c r="BU190" s="330" t="s">
        <v>1048</v>
      </c>
    </row>
    <row r="191" spans="70:73">
      <c r="BR191" t="s">
        <v>343</v>
      </c>
      <c r="BS191" t="s">
        <v>788</v>
      </c>
      <c r="BU191" s="330" t="s">
        <v>1049</v>
      </c>
    </row>
    <row r="192" spans="70:73">
      <c r="BR192" t="s">
        <v>344</v>
      </c>
      <c r="BS192" t="s">
        <v>788</v>
      </c>
      <c r="BU192" s="330" t="s">
        <v>1050</v>
      </c>
    </row>
    <row r="193" spans="70:73">
      <c r="BR193" t="s">
        <v>345</v>
      </c>
      <c r="BS193" t="s">
        <v>788</v>
      </c>
      <c r="BU193" s="330" t="s">
        <v>1051</v>
      </c>
    </row>
    <row r="194" spans="70:73">
      <c r="BR194" t="s">
        <v>346</v>
      </c>
      <c r="BS194" t="s">
        <v>788</v>
      </c>
      <c r="BU194" s="330" t="s">
        <v>1052</v>
      </c>
    </row>
    <row r="195" spans="70:73">
      <c r="BR195" t="s">
        <v>347</v>
      </c>
      <c r="BS195" t="s">
        <v>788</v>
      </c>
      <c r="BU195" s="330" t="s">
        <v>1053</v>
      </c>
    </row>
    <row r="196" spans="70:73">
      <c r="BR196" t="s">
        <v>348</v>
      </c>
      <c r="BS196" t="s">
        <v>788</v>
      </c>
      <c r="BU196" s="330" t="s">
        <v>1054</v>
      </c>
    </row>
    <row r="197" spans="70:73">
      <c r="BR197" t="s">
        <v>349</v>
      </c>
      <c r="BS197" t="s">
        <v>788</v>
      </c>
      <c r="BU197" s="330" t="s">
        <v>1055</v>
      </c>
    </row>
    <row r="198" spans="70:73">
      <c r="BR198" t="s">
        <v>350</v>
      </c>
      <c r="BS198" t="s">
        <v>788</v>
      </c>
      <c r="BU198" s="330" t="s">
        <v>1056</v>
      </c>
    </row>
    <row r="199" spans="70:73">
      <c r="BR199" t="s">
        <v>351</v>
      </c>
      <c r="BS199" t="s">
        <v>788</v>
      </c>
      <c r="BU199" s="330" t="s">
        <v>1057</v>
      </c>
    </row>
    <row r="200" spans="70:73">
      <c r="BR200" t="s">
        <v>352</v>
      </c>
      <c r="BS200" t="s">
        <v>788</v>
      </c>
      <c r="BU200" s="330" t="s">
        <v>1058</v>
      </c>
    </row>
    <row r="201" spans="70:73">
      <c r="BR201" t="s">
        <v>353</v>
      </c>
      <c r="BS201" t="s">
        <v>788</v>
      </c>
      <c r="BU201" s="330" t="s">
        <v>1059</v>
      </c>
    </row>
    <row r="202" spans="70:73">
      <c r="BR202" t="s">
        <v>354</v>
      </c>
      <c r="BS202" t="s">
        <v>788</v>
      </c>
      <c r="BU202" s="330" t="s">
        <v>1060</v>
      </c>
    </row>
    <row r="203" spans="70:73">
      <c r="BR203" t="s">
        <v>355</v>
      </c>
      <c r="BS203" t="s">
        <v>788</v>
      </c>
      <c r="BU203" s="330" t="s">
        <v>1061</v>
      </c>
    </row>
    <row r="204" spans="70:73">
      <c r="BR204" t="s">
        <v>356</v>
      </c>
      <c r="BS204" t="s">
        <v>788</v>
      </c>
      <c r="BU204" s="330" t="s">
        <v>1062</v>
      </c>
    </row>
    <row r="205" spans="70:73">
      <c r="BR205" t="s">
        <v>357</v>
      </c>
      <c r="BS205" t="s">
        <v>788</v>
      </c>
      <c r="BU205" s="330" t="s">
        <v>1063</v>
      </c>
    </row>
    <row r="206" spans="70:73">
      <c r="BR206" t="s">
        <v>358</v>
      </c>
      <c r="BS206" t="s">
        <v>788</v>
      </c>
      <c r="BU206" s="330" t="s">
        <v>358</v>
      </c>
    </row>
    <row r="207" spans="70:73">
      <c r="BR207" t="s">
        <v>359</v>
      </c>
      <c r="BS207" t="s">
        <v>788</v>
      </c>
      <c r="BU207" s="330" t="s">
        <v>1064</v>
      </c>
    </row>
    <row r="208" spans="70:73">
      <c r="BR208" t="s">
        <v>360</v>
      </c>
      <c r="BS208" t="s">
        <v>788</v>
      </c>
      <c r="BU208" s="330" t="s">
        <v>1065</v>
      </c>
    </row>
    <row r="209" spans="70:73">
      <c r="BR209" t="s">
        <v>361</v>
      </c>
      <c r="BS209" t="s">
        <v>788</v>
      </c>
      <c r="BU209" s="330" t="s">
        <v>1066</v>
      </c>
    </row>
    <row r="210" spans="70:73">
      <c r="BR210" t="s">
        <v>362</v>
      </c>
      <c r="BS210" t="s">
        <v>788</v>
      </c>
      <c r="BU210" s="330" t="s">
        <v>1067</v>
      </c>
    </row>
    <row r="211" spans="70:73">
      <c r="BR211" t="s">
        <v>363</v>
      </c>
      <c r="BS211" t="s">
        <v>788</v>
      </c>
      <c r="BU211" s="330" t="s">
        <v>1068</v>
      </c>
    </row>
    <row r="212" spans="70:73">
      <c r="BR212" t="s">
        <v>364</v>
      </c>
      <c r="BS212" t="s">
        <v>788</v>
      </c>
      <c r="BU212" s="330" t="s">
        <v>1069</v>
      </c>
    </row>
    <row r="213" spans="70:73">
      <c r="BR213" t="s">
        <v>365</v>
      </c>
      <c r="BS213" t="s">
        <v>788</v>
      </c>
      <c r="BU213" s="330" t="s">
        <v>1070</v>
      </c>
    </row>
    <row r="214" spans="70:73">
      <c r="BR214" t="s">
        <v>366</v>
      </c>
      <c r="BS214" t="s">
        <v>788</v>
      </c>
      <c r="BU214" s="330" t="s">
        <v>1071</v>
      </c>
    </row>
    <row r="215" spans="70:73">
      <c r="BR215" t="s">
        <v>367</v>
      </c>
      <c r="BS215" t="s">
        <v>788</v>
      </c>
      <c r="BU215" s="330" t="s">
        <v>1072</v>
      </c>
    </row>
    <row r="216" spans="70:73">
      <c r="BR216" t="s">
        <v>368</v>
      </c>
      <c r="BS216" t="s">
        <v>788</v>
      </c>
      <c r="BU216" s="330" t="s">
        <v>1073</v>
      </c>
    </row>
    <row r="217" spans="70:73">
      <c r="BR217" t="s">
        <v>369</v>
      </c>
      <c r="BS217" t="s">
        <v>788</v>
      </c>
      <c r="BU217" s="330" t="s">
        <v>1074</v>
      </c>
    </row>
    <row r="218" spans="70:73">
      <c r="BR218" t="s">
        <v>370</v>
      </c>
      <c r="BS218" t="s">
        <v>788</v>
      </c>
      <c r="BU218" s="330" t="s">
        <v>1075</v>
      </c>
    </row>
    <row r="219" spans="70:73">
      <c r="BR219" t="s">
        <v>115</v>
      </c>
      <c r="BS219" t="s">
        <v>1076</v>
      </c>
      <c r="BU219" s="330" t="s">
        <v>1077</v>
      </c>
    </row>
    <row r="220" spans="70:73">
      <c r="BR220" t="s">
        <v>119</v>
      </c>
      <c r="BS220" t="s">
        <v>1076</v>
      </c>
      <c r="BU220" s="330" t="s">
        <v>1078</v>
      </c>
    </row>
    <row r="221" spans="70:73">
      <c r="BR221" t="s">
        <v>123</v>
      </c>
      <c r="BS221" t="s">
        <v>1076</v>
      </c>
      <c r="BU221" s="330" t="s">
        <v>1079</v>
      </c>
    </row>
    <row r="222" spans="70:73">
      <c r="BR222" t="s">
        <v>127</v>
      </c>
      <c r="BS222" t="s">
        <v>1076</v>
      </c>
      <c r="BU222" s="330" t="s">
        <v>1080</v>
      </c>
    </row>
    <row r="223" spans="70:73">
      <c r="BR223" t="s">
        <v>131</v>
      </c>
      <c r="BS223" t="s">
        <v>1076</v>
      </c>
      <c r="BU223" s="330" t="s">
        <v>1081</v>
      </c>
    </row>
    <row r="224" spans="70:73">
      <c r="BR224" t="s">
        <v>133</v>
      </c>
      <c r="BS224" t="s">
        <v>1076</v>
      </c>
    </row>
    <row r="225" spans="70:73">
      <c r="BR225" t="s">
        <v>136</v>
      </c>
      <c r="BS225" t="s">
        <v>1076</v>
      </c>
    </row>
    <row r="226" spans="70:73">
      <c r="BR226" t="s">
        <v>139</v>
      </c>
      <c r="BS226" t="s">
        <v>1076</v>
      </c>
      <c r="BU226" s="330" t="s">
        <v>1082</v>
      </c>
    </row>
    <row r="227" spans="70:73">
      <c r="BR227" t="s">
        <v>142</v>
      </c>
      <c r="BS227" t="s">
        <v>1076</v>
      </c>
      <c r="BU227" s="330" t="s">
        <v>1083</v>
      </c>
    </row>
    <row r="228" spans="70:73">
      <c r="BR228" t="s">
        <v>145</v>
      </c>
      <c r="BS228" t="s">
        <v>1076</v>
      </c>
      <c r="BU228" s="330" t="s">
        <v>1084</v>
      </c>
    </row>
    <row r="229" spans="70:73">
      <c r="BR229" t="s">
        <v>148</v>
      </c>
      <c r="BS229" t="s">
        <v>1076</v>
      </c>
      <c r="BU229" s="330" t="s">
        <v>1085</v>
      </c>
    </row>
    <row r="230" spans="70:73">
      <c r="BR230" t="s">
        <v>151</v>
      </c>
      <c r="BS230" t="s">
        <v>1076</v>
      </c>
      <c r="BU230" s="330" t="s">
        <v>1086</v>
      </c>
    </row>
    <row r="231" spans="70:73">
      <c r="BR231" t="s">
        <v>154</v>
      </c>
      <c r="BS231" t="s">
        <v>1076</v>
      </c>
      <c r="BU231" s="330" t="s">
        <v>1087</v>
      </c>
    </row>
    <row r="232" spans="70:73">
      <c r="BR232" t="s">
        <v>157</v>
      </c>
      <c r="BS232" t="s">
        <v>1076</v>
      </c>
      <c r="BU232" s="330" t="s">
        <v>1088</v>
      </c>
    </row>
    <row r="233" spans="70:73">
      <c r="BR233" t="s">
        <v>160</v>
      </c>
      <c r="BS233" t="s">
        <v>1076</v>
      </c>
      <c r="BU233" s="330" t="s">
        <v>1089</v>
      </c>
    </row>
    <row r="234" spans="70:73">
      <c r="BR234" t="s">
        <v>163</v>
      </c>
      <c r="BS234" t="s">
        <v>1076</v>
      </c>
      <c r="BU234" s="330" t="s">
        <v>1090</v>
      </c>
    </row>
    <row r="235" spans="70:73">
      <c r="BR235" t="s">
        <v>166</v>
      </c>
      <c r="BS235" t="s">
        <v>1076</v>
      </c>
      <c r="BU235" s="330"/>
    </row>
    <row r="236" spans="70:73">
      <c r="BR236" t="s">
        <v>169</v>
      </c>
      <c r="BS236" t="s">
        <v>1076</v>
      </c>
      <c r="BU236" s="330" t="s">
        <v>1091</v>
      </c>
    </row>
    <row r="237" spans="70:73">
      <c r="BR237" t="s">
        <v>172</v>
      </c>
      <c r="BS237" t="s">
        <v>1076</v>
      </c>
    </row>
    <row r="238" spans="70:73">
      <c r="BR238" t="s">
        <v>175</v>
      </c>
      <c r="BS238" t="s">
        <v>1076</v>
      </c>
    </row>
    <row r="239" spans="70:73">
      <c r="BR239" t="s">
        <v>178</v>
      </c>
      <c r="BS239" t="s">
        <v>1076</v>
      </c>
    </row>
    <row r="240" spans="70:73">
      <c r="BR240" t="s">
        <v>180</v>
      </c>
      <c r="BS240" t="s">
        <v>1076</v>
      </c>
      <c r="BU240" s="330" t="s">
        <v>1092</v>
      </c>
    </row>
    <row r="241" spans="70:73">
      <c r="BR241" t="s">
        <v>182</v>
      </c>
      <c r="BS241" t="s">
        <v>1076</v>
      </c>
    </row>
    <row r="242" spans="70:73">
      <c r="BR242" t="s">
        <v>184</v>
      </c>
      <c r="BS242" t="s">
        <v>1076</v>
      </c>
      <c r="BU242" s="330" t="s">
        <v>1093</v>
      </c>
    </row>
    <row r="243" spans="70:73">
      <c r="BR243" t="s">
        <v>186</v>
      </c>
      <c r="BS243" t="s">
        <v>1076</v>
      </c>
      <c r="BU243" s="330" t="s">
        <v>1094</v>
      </c>
    </row>
    <row r="244" spans="70:73">
      <c r="BR244" t="s">
        <v>188</v>
      </c>
      <c r="BS244" t="s">
        <v>1076</v>
      </c>
    </row>
    <row r="245" spans="70:73">
      <c r="BR245" t="s">
        <v>190</v>
      </c>
      <c r="BS245" t="s">
        <v>1076</v>
      </c>
      <c r="BU245" s="330" t="s">
        <v>1095</v>
      </c>
    </row>
    <row r="246" spans="70:73">
      <c r="BR246" t="s">
        <v>192</v>
      </c>
      <c r="BS246" t="s">
        <v>1076</v>
      </c>
      <c r="BU246" s="330" t="s">
        <v>1096</v>
      </c>
    </row>
    <row r="247" spans="70:73">
      <c r="BR247" t="s">
        <v>194</v>
      </c>
      <c r="BS247" t="s">
        <v>1076</v>
      </c>
      <c r="BU247" s="330" t="s">
        <v>1097</v>
      </c>
    </row>
    <row r="248" spans="70:73">
      <c r="BR248" t="s">
        <v>196</v>
      </c>
      <c r="BS248" t="s">
        <v>1076</v>
      </c>
      <c r="BU248" s="330" t="s">
        <v>1098</v>
      </c>
    </row>
    <row r="249" spans="70:73">
      <c r="BR249" t="s">
        <v>198</v>
      </c>
      <c r="BS249" t="s">
        <v>1076</v>
      </c>
      <c r="BU249" s="330" t="s">
        <v>1099</v>
      </c>
    </row>
    <row r="250" spans="70:73">
      <c r="BR250" t="s">
        <v>200</v>
      </c>
      <c r="BS250" t="s">
        <v>1076</v>
      </c>
      <c r="BU250" s="330" t="s">
        <v>1100</v>
      </c>
    </row>
    <row r="251" spans="70:73">
      <c r="BR251" t="s">
        <v>202</v>
      </c>
      <c r="BS251" t="s">
        <v>1076</v>
      </c>
      <c r="BU251" s="330" t="s">
        <v>1101</v>
      </c>
    </row>
    <row r="252" spans="70:73">
      <c r="BR252" t="s">
        <v>204</v>
      </c>
      <c r="BS252" t="s">
        <v>1076</v>
      </c>
    </row>
    <row r="253" spans="70:73">
      <c r="BR253" t="s">
        <v>206</v>
      </c>
      <c r="BS253" t="s">
        <v>1076</v>
      </c>
      <c r="BU253" s="330" t="s">
        <v>1102</v>
      </c>
    </row>
    <row r="254" spans="70:73">
      <c r="BR254" t="s">
        <v>208</v>
      </c>
      <c r="BS254" t="s">
        <v>1076</v>
      </c>
      <c r="BU254" s="330"/>
    </row>
    <row r="255" spans="70:73">
      <c r="BR255" t="s">
        <v>210</v>
      </c>
      <c r="BS255" t="s">
        <v>1076</v>
      </c>
      <c r="BU255" s="330"/>
    </row>
    <row r="256" spans="70:73">
      <c r="BR256" t="s">
        <v>212</v>
      </c>
      <c r="BS256" t="s">
        <v>1076</v>
      </c>
      <c r="BU256" s="330"/>
    </row>
    <row r="257" spans="70:73">
      <c r="BR257" t="s">
        <v>214</v>
      </c>
      <c r="BS257" t="s">
        <v>1076</v>
      </c>
      <c r="BU257" s="330" t="s">
        <v>1103</v>
      </c>
    </row>
    <row r="258" spans="70:73">
      <c r="BR258" t="s">
        <v>216</v>
      </c>
      <c r="BS258" t="s">
        <v>1076</v>
      </c>
      <c r="BU258" s="330" t="s">
        <v>1104</v>
      </c>
    </row>
    <row r="259" spans="70:73">
      <c r="BR259" t="s">
        <v>218</v>
      </c>
      <c r="BS259" t="s">
        <v>1076</v>
      </c>
    </row>
    <row r="260" spans="70:73">
      <c r="BR260" t="s">
        <v>118</v>
      </c>
      <c r="BS260" t="s">
        <v>1105</v>
      </c>
      <c r="BU260" t="s">
        <v>1106</v>
      </c>
    </row>
    <row r="261" spans="70:73">
      <c r="BR261" t="s">
        <v>122</v>
      </c>
      <c r="BS261" t="s">
        <v>1105</v>
      </c>
      <c r="BU261" t="s">
        <v>1107</v>
      </c>
    </row>
    <row r="262" spans="70:73">
      <c r="BR262" t="s">
        <v>126</v>
      </c>
      <c r="BS262" t="s">
        <v>1105</v>
      </c>
      <c r="BU262" s="330" t="s">
        <v>1108</v>
      </c>
    </row>
    <row r="263" spans="70:73">
      <c r="BR263" t="s">
        <v>130</v>
      </c>
      <c r="BS263" t="s">
        <v>1105</v>
      </c>
      <c r="BU263" s="330" t="s">
        <v>1109</v>
      </c>
    </row>
  </sheetData>
  <mergeCells count="98">
    <mergeCell ref="AE5:AF5"/>
    <mergeCell ref="Z6:AB6"/>
    <mergeCell ref="Z5:AB5"/>
    <mergeCell ref="Z9:AB9"/>
    <mergeCell ref="Z13:AB13"/>
    <mergeCell ref="AE7:AF7"/>
    <mergeCell ref="Z8:AB8"/>
    <mergeCell ref="AE8:AF8"/>
    <mergeCell ref="Z17:AB17"/>
    <mergeCell ref="Z21:AB21"/>
    <mergeCell ref="Z10:AB10"/>
    <mergeCell ref="Z11:AB11"/>
    <mergeCell ref="Z12:AB12"/>
    <mergeCell ref="AZ34:BB34"/>
    <mergeCell ref="AZ35:BB35"/>
    <mergeCell ref="AZ36:BB36"/>
    <mergeCell ref="O6:O12"/>
    <mergeCell ref="O13:O19"/>
    <mergeCell ref="O20:O25"/>
    <mergeCell ref="O26:O33"/>
    <mergeCell ref="O34:O39"/>
    <mergeCell ref="Z25:AB25"/>
    <mergeCell ref="Z31:AB31"/>
    <mergeCell ref="AE9:AF9"/>
    <mergeCell ref="AE10:AF10"/>
    <mergeCell ref="AE11:AF11"/>
    <mergeCell ref="AE12:AF12"/>
    <mergeCell ref="AE6:AF6"/>
    <mergeCell ref="Z7:AB7"/>
    <mergeCell ref="Z24:AB24"/>
    <mergeCell ref="AE24:AF24"/>
    <mergeCell ref="Z20:AB20"/>
    <mergeCell ref="AE20:AF20"/>
    <mergeCell ref="AE13:AF13"/>
    <mergeCell ref="Z14:AB14"/>
    <mergeCell ref="AE14:AF14"/>
    <mergeCell ref="Z15:AB15"/>
    <mergeCell ref="AE15:AF15"/>
    <mergeCell ref="Z16:AB16"/>
    <mergeCell ref="AE16:AF16"/>
    <mergeCell ref="AE17:AF17"/>
    <mergeCell ref="Z18:AB18"/>
    <mergeCell ref="AE18:AF18"/>
    <mergeCell ref="Z19:AB19"/>
    <mergeCell ref="AE19:AF19"/>
    <mergeCell ref="AE21:AF21"/>
    <mergeCell ref="Z22:AB22"/>
    <mergeCell ref="AE22:AF22"/>
    <mergeCell ref="Z23:AB23"/>
    <mergeCell ref="AE23:AF23"/>
    <mergeCell ref="AE25:AF25"/>
    <mergeCell ref="Z26:AB26"/>
    <mergeCell ref="AE26:AF26"/>
    <mergeCell ref="Z27:AB27"/>
    <mergeCell ref="AE27:AF27"/>
    <mergeCell ref="Z28:AB28"/>
    <mergeCell ref="AE28:AF28"/>
    <mergeCell ref="Z29:AB29"/>
    <mergeCell ref="AE29:AF29"/>
    <mergeCell ref="Z30:AB30"/>
    <mergeCell ref="AE30:AF30"/>
    <mergeCell ref="AE31:AF31"/>
    <mergeCell ref="Z32:AB32"/>
    <mergeCell ref="AE32:AF32"/>
    <mergeCell ref="Z33:AB33"/>
    <mergeCell ref="AE33:AF33"/>
    <mergeCell ref="AZ16:BB16"/>
    <mergeCell ref="AO4:AR4"/>
    <mergeCell ref="AZ6:BB6"/>
    <mergeCell ref="AZ7:BB7"/>
    <mergeCell ref="AZ8:BB8"/>
    <mergeCell ref="AZ9:BB9"/>
    <mergeCell ref="AZ10:BB10"/>
    <mergeCell ref="AZ5:BB5"/>
    <mergeCell ref="AZ32:BB32"/>
    <mergeCell ref="AZ33:BB33"/>
    <mergeCell ref="AZ23:BB23"/>
    <mergeCell ref="AZ24:BB24"/>
    <mergeCell ref="AZ25:BB25"/>
    <mergeCell ref="AZ26:BB26"/>
    <mergeCell ref="AZ27:BB27"/>
    <mergeCell ref="AZ28:BB28"/>
    <mergeCell ref="BD5:BG5"/>
    <mergeCell ref="BD19:BG19"/>
    <mergeCell ref="AZ29:BB29"/>
    <mergeCell ref="AZ30:BB30"/>
    <mergeCell ref="AZ31:BB31"/>
    <mergeCell ref="AZ17:BB17"/>
    <mergeCell ref="AZ18:BB18"/>
    <mergeCell ref="AZ19:BB19"/>
    <mergeCell ref="AZ20:BB20"/>
    <mergeCell ref="AZ21:BB21"/>
    <mergeCell ref="AZ22:BB22"/>
    <mergeCell ref="AZ11:BB11"/>
    <mergeCell ref="AZ12:BB12"/>
    <mergeCell ref="AZ13:BB13"/>
    <mergeCell ref="AZ14:BB14"/>
    <mergeCell ref="AZ15:BB15"/>
  </mergeCells>
  <pageMargins left="0.7" right="0.7" top="0.78740157499999996" bottom="0.78740157499999996"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C25F7-4839-4939-A26C-0C3E2A479282}">
  <sheetPr codeName="Tabelle13"/>
  <dimension ref="B2:X258"/>
  <sheetViews>
    <sheetView topLeftCell="L1" zoomScale="85" zoomScaleNormal="85" workbookViewId="0">
      <selection activeCell="A20" sqref="A20:K20"/>
    </sheetView>
  </sheetViews>
  <sheetFormatPr baseColWidth="10" defaultColWidth="11.33203125" defaultRowHeight="15"/>
  <cols>
    <col min="12" max="12" width="30.6640625" customWidth="1"/>
    <col min="13" max="13" width="44.6640625" customWidth="1"/>
    <col min="14" max="14" width="15.6640625" customWidth="1"/>
    <col min="16" max="16" width="23.6640625" customWidth="1"/>
    <col min="18" max="18" width="18.33203125" customWidth="1"/>
    <col min="19" max="19" width="17.1640625" customWidth="1"/>
    <col min="20" max="20" width="32.33203125" customWidth="1"/>
    <col min="21" max="21" width="75.5" customWidth="1"/>
    <col min="22" max="22" width="49.83203125" customWidth="1"/>
    <col min="23" max="23" width="44.33203125" customWidth="1"/>
    <col min="24" max="24" width="21.6640625" customWidth="1"/>
  </cols>
  <sheetData>
    <row r="2" spans="2:24">
      <c r="B2" t="s">
        <v>1110</v>
      </c>
      <c r="C2" s="123" t="s">
        <v>590</v>
      </c>
      <c r="F2" s="146" t="s">
        <v>594</v>
      </c>
      <c r="H2" s="123" t="s">
        <v>592</v>
      </c>
      <c r="I2" s="522" t="s">
        <v>613</v>
      </c>
      <c r="J2" s="522"/>
      <c r="K2" s="522"/>
      <c r="L2" s="123" t="s">
        <v>596</v>
      </c>
      <c r="M2" s="123" t="s">
        <v>596</v>
      </c>
      <c r="N2" s="123" t="s">
        <v>604</v>
      </c>
      <c r="O2" s="123" t="s">
        <v>605</v>
      </c>
      <c r="P2" s="151" t="s">
        <v>602</v>
      </c>
      <c r="Q2" s="161" t="s">
        <v>576</v>
      </c>
      <c r="R2" t="s">
        <v>1111</v>
      </c>
      <c r="T2" t="s">
        <v>117</v>
      </c>
      <c r="U2" t="s">
        <v>1112</v>
      </c>
    </row>
    <row r="3" spans="2:24">
      <c r="B3" t="s">
        <v>1113</v>
      </c>
      <c r="C3" s="123" t="s">
        <v>611</v>
      </c>
      <c r="F3" s="146" t="s">
        <v>676</v>
      </c>
      <c r="H3" s="123" t="s">
        <v>595</v>
      </c>
      <c r="I3" s="522" t="s">
        <v>623</v>
      </c>
      <c r="J3" s="522"/>
      <c r="K3" s="522"/>
      <c r="L3" s="123" t="s">
        <v>612</v>
      </c>
      <c r="M3" s="123" t="s">
        <v>612</v>
      </c>
      <c r="N3" s="123" t="s">
        <v>615</v>
      </c>
      <c r="O3" s="123" t="s">
        <v>616</v>
      </c>
      <c r="P3" s="151" t="s">
        <v>614</v>
      </c>
      <c r="Q3" s="161" t="s">
        <v>577</v>
      </c>
      <c r="R3" t="s">
        <v>133</v>
      </c>
      <c r="T3" t="s">
        <v>121</v>
      </c>
      <c r="U3" t="s">
        <v>1114</v>
      </c>
    </row>
    <row r="4" spans="2:24">
      <c r="C4" s="123" t="s">
        <v>620</v>
      </c>
      <c r="F4" s="146" t="s">
        <v>731</v>
      </c>
      <c r="H4" s="123" t="s">
        <v>621</v>
      </c>
      <c r="I4" s="522" t="s">
        <v>635</v>
      </c>
      <c r="J4" s="522"/>
      <c r="K4" s="522"/>
      <c r="L4" s="123" t="s">
        <v>601</v>
      </c>
      <c r="M4" s="123" t="s">
        <v>622</v>
      </c>
      <c r="N4" s="123" t="s">
        <v>625</v>
      </c>
      <c r="O4" s="123" t="s">
        <v>626</v>
      </c>
      <c r="P4" s="151" t="s">
        <v>624</v>
      </c>
      <c r="Q4" s="161" t="s">
        <v>578</v>
      </c>
      <c r="R4" t="s">
        <v>136</v>
      </c>
      <c r="T4" t="s">
        <v>125</v>
      </c>
    </row>
    <row r="5" spans="2:24">
      <c r="C5" s="123" t="s">
        <v>630</v>
      </c>
      <c r="F5" s="146" t="s">
        <v>775</v>
      </c>
      <c r="H5" s="123" t="s">
        <v>656</v>
      </c>
      <c r="I5" s="522" t="s">
        <v>647</v>
      </c>
      <c r="J5" s="522"/>
      <c r="K5" s="522"/>
      <c r="L5" s="123" t="s">
        <v>648</v>
      </c>
      <c r="M5" s="123" t="s">
        <v>633</v>
      </c>
      <c r="N5" s="123" t="s">
        <v>638</v>
      </c>
      <c r="O5" s="123" t="s">
        <v>639</v>
      </c>
      <c r="P5" s="151" t="s">
        <v>637</v>
      </c>
      <c r="Q5" s="161" t="s">
        <v>579</v>
      </c>
      <c r="R5" t="s">
        <v>139</v>
      </c>
      <c r="T5" t="s">
        <v>129</v>
      </c>
    </row>
    <row r="6" spans="2:24">
      <c r="C6" s="123" t="s">
        <v>643</v>
      </c>
      <c r="F6" s="146" t="s">
        <v>832</v>
      </c>
      <c r="H6" s="123" t="s">
        <v>632</v>
      </c>
      <c r="I6" s="522" t="s">
        <v>658</v>
      </c>
      <c r="J6" s="522"/>
      <c r="K6" s="522"/>
      <c r="L6" s="123" t="s">
        <v>659</v>
      </c>
      <c r="M6" s="123" t="s">
        <v>646</v>
      </c>
      <c r="N6" s="123" t="s">
        <v>650</v>
      </c>
      <c r="O6" s="123" t="s">
        <v>651</v>
      </c>
      <c r="P6" s="151" t="s">
        <v>649</v>
      </c>
      <c r="Q6" s="151"/>
      <c r="R6" t="s">
        <v>157</v>
      </c>
      <c r="T6" t="s">
        <v>107</v>
      </c>
    </row>
    <row r="7" spans="2:24">
      <c r="C7" s="123" t="s">
        <v>628</v>
      </c>
      <c r="F7" s="147" t="s">
        <v>55</v>
      </c>
      <c r="H7" s="123" t="s">
        <v>666</v>
      </c>
      <c r="I7" s="522" t="s">
        <v>668</v>
      </c>
      <c r="J7" s="522"/>
      <c r="K7" s="522"/>
      <c r="L7" s="123" t="s">
        <v>669</v>
      </c>
      <c r="M7" s="123" t="s">
        <v>657</v>
      </c>
      <c r="N7" s="123" t="s">
        <v>661</v>
      </c>
      <c r="O7" s="123" t="s">
        <v>662</v>
      </c>
      <c r="P7" s="151" t="s">
        <v>660</v>
      </c>
      <c r="Q7" s="151"/>
      <c r="R7" t="s">
        <v>126</v>
      </c>
      <c r="T7" t="s">
        <v>135</v>
      </c>
    </row>
    <row r="8" spans="2:24">
      <c r="C8" s="123" t="s">
        <v>665</v>
      </c>
      <c r="F8" s="146"/>
      <c r="H8" s="123" t="s">
        <v>684</v>
      </c>
      <c r="I8" s="522" t="s">
        <v>678</v>
      </c>
      <c r="J8" s="522"/>
      <c r="K8" s="522"/>
      <c r="M8" s="123" t="s">
        <v>667</v>
      </c>
      <c r="N8" s="123" t="s">
        <v>671</v>
      </c>
      <c r="O8" s="123" t="s">
        <v>672</v>
      </c>
      <c r="P8" s="151" t="s">
        <v>670</v>
      </c>
      <c r="Q8" s="151"/>
      <c r="R8" t="s">
        <v>160</v>
      </c>
      <c r="T8" t="s">
        <v>138</v>
      </c>
    </row>
    <row r="9" spans="2:24">
      <c r="C9" s="123" t="s">
        <v>675</v>
      </c>
      <c r="H9" s="123" t="s">
        <v>645</v>
      </c>
      <c r="I9" s="522" t="s">
        <v>686</v>
      </c>
      <c r="J9" s="522"/>
      <c r="K9" s="522"/>
      <c r="M9" s="123" t="s">
        <v>677</v>
      </c>
      <c r="N9" s="123" t="s">
        <v>680</v>
      </c>
      <c r="O9" s="123" t="s">
        <v>681</v>
      </c>
      <c r="P9" s="151" t="s">
        <v>679</v>
      </c>
      <c r="R9" t="s">
        <v>163</v>
      </c>
      <c r="T9" t="s">
        <v>141</v>
      </c>
    </row>
    <row r="10" spans="2:24" ht="15" customHeight="1">
      <c r="C10" s="123" t="s">
        <v>641</v>
      </c>
      <c r="F10" s="146"/>
      <c r="I10" s="522" t="s">
        <v>694</v>
      </c>
      <c r="J10" s="522"/>
      <c r="K10" s="522"/>
      <c r="M10" s="149" t="s">
        <v>685</v>
      </c>
      <c r="N10" s="123" t="s">
        <v>688</v>
      </c>
      <c r="O10" s="123" t="s">
        <v>689</v>
      </c>
      <c r="P10" s="151" t="s">
        <v>687</v>
      </c>
      <c r="R10" t="s">
        <v>166</v>
      </c>
      <c r="T10" t="s">
        <v>144</v>
      </c>
      <c r="X10" s="330"/>
    </row>
    <row r="11" spans="2:24">
      <c r="C11" s="123" t="s">
        <v>692</v>
      </c>
      <c r="F11" s="146"/>
      <c r="I11" s="522" t="s">
        <v>701</v>
      </c>
      <c r="J11" s="522"/>
      <c r="K11" s="522"/>
      <c r="M11" s="123" t="s">
        <v>693</v>
      </c>
      <c r="N11" s="123" t="s">
        <v>696</v>
      </c>
      <c r="O11" s="123" t="s">
        <v>697</v>
      </c>
      <c r="P11" s="151" t="s">
        <v>695</v>
      </c>
      <c r="R11" t="s">
        <v>169</v>
      </c>
      <c r="T11" t="s">
        <v>147</v>
      </c>
    </row>
    <row r="12" spans="2:24">
      <c r="C12" s="123" t="s">
        <v>700</v>
      </c>
      <c r="F12" s="146"/>
      <c r="I12" s="522" t="s">
        <v>708</v>
      </c>
      <c r="J12" s="522"/>
      <c r="K12" s="522"/>
      <c r="N12" s="123" t="s">
        <v>703</v>
      </c>
      <c r="O12" s="123" t="s">
        <v>704</v>
      </c>
      <c r="P12" s="151" t="s">
        <v>702</v>
      </c>
      <c r="R12" t="s">
        <v>172</v>
      </c>
      <c r="T12" t="s">
        <v>150</v>
      </c>
    </row>
    <row r="13" spans="2:24">
      <c r="C13" s="123" t="s">
        <v>707</v>
      </c>
      <c r="F13" s="146"/>
      <c r="I13" s="522" t="s">
        <v>716</v>
      </c>
      <c r="J13" s="522"/>
      <c r="K13" s="522"/>
      <c r="N13" s="123" t="s">
        <v>710</v>
      </c>
      <c r="O13" s="123" t="s">
        <v>711</v>
      </c>
      <c r="P13" s="151" t="s">
        <v>709</v>
      </c>
      <c r="R13" t="s">
        <v>175</v>
      </c>
      <c r="T13" t="s">
        <v>153</v>
      </c>
    </row>
    <row r="14" spans="2:24">
      <c r="C14" s="123" t="s">
        <v>714</v>
      </c>
      <c r="F14" s="146"/>
      <c r="I14" s="522" t="s">
        <v>724</v>
      </c>
      <c r="J14" s="522"/>
      <c r="K14" s="522"/>
      <c r="N14" s="123" t="s">
        <v>718</v>
      </c>
      <c r="O14" s="123" t="s">
        <v>719</v>
      </c>
      <c r="P14" s="151" t="s">
        <v>717</v>
      </c>
      <c r="R14" t="s">
        <v>178</v>
      </c>
      <c r="T14" t="s">
        <v>156</v>
      </c>
    </row>
    <row r="15" spans="2:24">
      <c r="C15" s="123" t="s">
        <v>722</v>
      </c>
      <c r="F15" s="146"/>
      <c r="I15" s="522" t="s">
        <v>733</v>
      </c>
      <c r="J15" s="522"/>
      <c r="K15" s="522"/>
      <c r="N15" s="123" t="s">
        <v>726</v>
      </c>
      <c r="O15" s="123" t="s">
        <v>727</v>
      </c>
      <c r="P15" s="151" t="s">
        <v>725</v>
      </c>
      <c r="R15" t="s">
        <v>182</v>
      </c>
      <c r="T15" t="s">
        <v>159</v>
      </c>
    </row>
    <row r="16" spans="2:24">
      <c r="C16" s="123" t="s">
        <v>730</v>
      </c>
      <c r="I16" s="522" t="s">
        <v>741</v>
      </c>
      <c r="J16" s="522"/>
      <c r="K16" s="522"/>
      <c r="N16" s="123" t="s">
        <v>735</v>
      </c>
      <c r="O16" s="123" t="s">
        <v>736</v>
      </c>
      <c r="P16" s="151" t="s">
        <v>734</v>
      </c>
      <c r="R16" t="s">
        <v>184</v>
      </c>
      <c r="T16" t="s">
        <v>162</v>
      </c>
    </row>
    <row r="17" spans="3:20">
      <c r="C17" s="123" t="s">
        <v>739</v>
      </c>
      <c r="F17" s="146"/>
      <c r="I17" s="522" t="s">
        <v>748</v>
      </c>
      <c r="J17" s="522"/>
      <c r="K17" s="522"/>
      <c r="N17" s="123" t="s">
        <v>743</v>
      </c>
      <c r="O17" s="123" t="s">
        <v>744</v>
      </c>
      <c r="P17" s="151" t="s">
        <v>742</v>
      </c>
      <c r="R17" t="s">
        <v>188</v>
      </c>
      <c r="T17" t="s">
        <v>165</v>
      </c>
    </row>
    <row r="18" spans="3:20">
      <c r="C18" s="123" t="s">
        <v>747</v>
      </c>
      <c r="F18" s="146"/>
      <c r="I18" s="522" t="s">
        <v>755</v>
      </c>
      <c r="J18" s="522"/>
      <c r="K18" s="522"/>
      <c r="N18" s="123" t="s">
        <v>750</v>
      </c>
      <c r="O18" s="123" t="s">
        <v>751</v>
      </c>
      <c r="P18" s="151" t="s">
        <v>749</v>
      </c>
      <c r="R18" t="s">
        <v>186</v>
      </c>
      <c r="T18" t="s">
        <v>168</v>
      </c>
    </row>
    <row r="19" spans="3:20">
      <c r="C19" s="123" t="s">
        <v>754</v>
      </c>
      <c r="F19" s="146"/>
      <c r="I19" s="522" t="s">
        <v>762</v>
      </c>
      <c r="J19" s="522"/>
      <c r="K19" s="522"/>
      <c r="N19" s="123" t="s">
        <v>757</v>
      </c>
      <c r="O19" s="123" t="s">
        <v>758</v>
      </c>
      <c r="P19" s="151" t="s">
        <v>756</v>
      </c>
      <c r="R19" t="s">
        <v>190</v>
      </c>
      <c r="T19" t="s">
        <v>171</v>
      </c>
    </row>
    <row r="20" spans="3:20">
      <c r="C20" s="123" t="s">
        <v>761</v>
      </c>
      <c r="F20" s="146"/>
      <c r="I20" s="522" t="s">
        <v>768</v>
      </c>
      <c r="J20" s="522"/>
      <c r="K20" s="522"/>
      <c r="N20" s="123" t="s">
        <v>764</v>
      </c>
      <c r="O20" s="123" t="s">
        <v>765</v>
      </c>
      <c r="P20" s="151" t="s">
        <v>763</v>
      </c>
      <c r="R20" t="s">
        <v>192</v>
      </c>
      <c r="T20" t="s">
        <v>174</v>
      </c>
    </row>
    <row r="21" spans="3:20">
      <c r="C21" s="123" t="s">
        <v>653</v>
      </c>
      <c r="F21" s="146"/>
      <c r="I21" s="522" t="s">
        <v>776</v>
      </c>
      <c r="J21" s="522"/>
      <c r="K21" s="522"/>
      <c r="N21" s="123" t="s">
        <v>770</v>
      </c>
      <c r="O21" s="123" t="s">
        <v>771</v>
      </c>
      <c r="P21" s="151" t="s">
        <v>769</v>
      </c>
      <c r="R21" t="s">
        <v>204</v>
      </c>
      <c r="T21" t="s">
        <v>177</v>
      </c>
    </row>
    <row r="22" spans="3:20">
      <c r="C22" s="123" t="s">
        <v>774</v>
      </c>
      <c r="I22" s="522" t="s">
        <v>783</v>
      </c>
      <c r="J22" s="522"/>
      <c r="K22" s="522"/>
      <c r="N22" s="123" t="s">
        <v>778</v>
      </c>
      <c r="O22" s="123" t="s">
        <v>779</v>
      </c>
      <c r="P22" s="151" t="s">
        <v>777</v>
      </c>
      <c r="R22" t="s">
        <v>206</v>
      </c>
      <c r="T22" t="s">
        <v>116</v>
      </c>
    </row>
    <row r="23" spans="3:20">
      <c r="C23" s="123" t="s">
        <v>782</v>
      </c>
      <c r="F23" s="146"/>
      <c r="I23" s="522" t="s">
        <v>791</v>
      </c>
      <c r="J23" s="522"/>
      <c r="K23" s="522"/>
      <c r="N23" s="123" t="s">
        <v>785</v>
      </c>
      <c r="O23" s="123" t="s">
        <v>786</v>
      </c>
      <c r="P23" s="151" t="s">
        <v>784</v>
      </c>
      <c r="R23" t="s">
        <v>208</v>
      </c>
      <c r="T23" t="s">
        <v>120</v>
      </c>
    </row>
    <row r="24" spans="3:20">
      <c r="C24" s="123" t="s">
        <v>790</v>
      </c>
      <c r="F24" s="146"/>
      <c r="I24" s="522" t="s">
        <v>798</v>
      </c>
      <c r="J24" s="522"/>
      <c r="K24" s="522"/>
      <c r="N24" s="123" t="s">
        <v>793</v>
      </c>
      <c r="O24" s="123" t="s">
        <v>794</v>
      </c>
      <c r="P24" s="151" t="s">
        <v>792</v>
      </c>
      <c r="R24" t="s">
        <v>210</v>
      </c>
      <c r="T24" t="s">
        <v>124</v>
      </c>
    </row>
    <row r="25" spans="3:20">
      <c r="C25" s="123" t="s">
        <v>797</v>
      </c>
      <c r="F25" s="146"/>
      <c r="I25" s="522" t="s">
        <v>805</v>
      </c>
      <c r="J25" s="522"/>
      <c r="K25" s="522"/>
      <c r="N25" s="123" t="s">
        <v>800</v>
      </c>
      <c r="O25" s="123" t="s">
        <v>801</v>
      </c>
      <c r="P25" s="151" t="s">
        <v>799</v>
      </c>
      <c r="R25" t="s">
        <v>212</v>
      </c>
      <c r="T25" t="s">
        <v>128</v>
      </c>
    </row>
    <row r="26" spans="3:20">
      <c r="C26" s="123" t="s">
        <v>804</v>
      </c>
      <c r="F26" s="146"/>
      <c r="I26" s="522" t="s">
        <v>812</v>
      </c>
      <c r="J26" s="522"/>
      <c r="K26" s="522"/>
      <c r="N26" s="123" t="s">
        <v>807</v>
      </c>
      <c r="O26" s="123" t="s">
        <v>808</v>
      </c>
      <c r="P26" s="151" t="s">
        <v>806</v>
      </c>
      <c r="R26" t="s">
        <v>218</v>
      </c>
      <c r="T26" t="s">
        <v>132</v>
      </c>
    </row>
    <row r="27" spans="3:20">
      <c r="C27" s="123" t="s">
        <v>811</v>
      </c>
      <c r="F27" s="146"/>
      <c r="I27" s="522" t="s">
        <v>819</v>
      </c>
      <c r="J27" s="522"/>
      <c r="K27" s="522"/>
      <c r="N27" s="123" t="s">
        <v>814</v>
      </c>
      <c r="O27" s="123" t="s">
        <v>815</v>
      </c>
      <c r="P27" s="151" t="s">
        <v>813</v>
      </c>
      <c r="T27" t="s">
        <v>134</v>
      </c>
    </row>
    <row r="28" spans="3:20">
      <c r="C28" s="123" t="s">
        <v>818</v>
      </c>
      <c r="F28" s="146"/>
      <c r="I28" s="522" t="s">
        <v>826</v>
      </c>
      <c r="J28" s="522"/>
      <c r="K28" s="522"/>
      <c r="N28" s="123" t="s">
        <v>821</v>
      </c>
      <c r="O28" s="123" t="s">
        <v>822</v>
      </c>
      <c r="P28" s="151" t="s">
        <v>820</v>
      </c>
      <c r="T28" t="s">
        <v>137</v>
      </c>
    </row>
    <row r="29" spans="3:20">
      <c r="C29" s="123" t="s">
        <v>825</v>
      </c>
      <c r="F29" s="146"/>
      <c r="N29" s="123" t="s">
        <v>828</v>
      </c>
      <c r="O29" s="123" t="s">
        <v>829</v>
      </c>
      <c r="P29" s="151" t="s">
        <v>827</v>
      </c>
      <c r="T29" t="s">
        <v>140</v>
      </c>
    </row>
    <row r="30" spans="3:20">
      <c r="N30" s="123" t="s">
        <v>834</v>
      </c>
      <c r="O30" s="123" t="s">
        <v>835</v>
      </c>
      <c r="P30" s="151" t="s">
        <v>833</v>
      </c>
      <c r="T30" t="s">
        <v>143</v>
      </c>
    </row>
    <row r="31" spans="3:20">
      <c r="F31" s="146"/>
      <c r="N31" s="123" t="s">
        <v>839</v>
      </c>
      <c r="O31" s="123" t="s">
        <v>840</v>
      </c>
      <c r="P31" s="151" t="s">
        <v>838</v>
      </c>
      <c r="T31" t="s">
        <v>146</v>
      </c>
    </row>
    <row r="32" spans="3:20">
      <c r="F32" s="146"/>
      <c r="N32" s="123" t="s">
        <v>844</v>
      </c>
      <c r="O32" s="150" t="s">
        <v>845</v>
      </c>
      <c r="P32" s="151" t="s">
        <v>843</v>
      </c>
      <c r="T32" t="s">
        <v>149</v>
      </c>
    </row>
    <row r="33" spans="6:20">
      <c r="F33" s="146"/>
      <c r="N33" s="123" t="s">
        <v>849</v>
      </c>
      <c r="O33" s="150" t="s">
        <v>850</v>
      </c>
      <c r="P33" s="151" t="s">
        <v>848</v>
      </c>
      <c r="T33" t="s">
        <v>152</v>
      </c>
    </row>
    <row r="34" spans="6:20">
      <c r="F34" s="146"/>
      <c r="N34" t="s">
        <v>854</v>
      </c>
      <c r="O34" s="150" t="s">
        <v>855</v>
      </c>
      <c r="P34" s="151" t="s">
        <v>853</v>
      </c>
      <c r="T34" t="s">
        <v>155</v>
      </c>
    </row>
    <row r="35" spans="6:20">
      <c r="F35" s="146"/>
      <c r="N35" t="s">
        <v>859</v>
      </c>
      <c r="O35" s="150" t="s">
        <v>860</v>
      </c>
      <c r="P35" s="151" t="s">
        <v>858</v>
      </c>
      <c r="T35" t="s">
        <v>158</v>
      </c>
    </row>
    <row r="36" spans="6:20">
      <c r="N36" t="s">
        <v>864</v>
      </c>
      <c r="O36" s="123" t="s">
        <v>865</v>
      </c>
      <c r="P36" s="151" t="s">
        <v>863</v>
      </c>
      <c r="T36" t="s">
        <v>161</v>
      </c>
    </row>
    <row r="37" spans="6:20">
      <c r="O37" s="123" t="s">
        <v>869</v>
      </c>
      <c r="P37" s="151" t="s">
        <v>868</v>
      </c>
      <c r="T37" t="s">
        <v>164</v>
      </c>
    </row>
    <row r="38" spans="6:20">
      <c r="P38" s="151" t="s">
        <v>872</v>
      </c>
      <c r="T38" t="s">
        <v>167</v>
      </c>
    </row>
    <row r="39" spans="6:20">
      <c r="P39" s="151" t="s">
        <v>874</v>
      </c>
      <c r="T39" t="s">
        <v>170</v>
      </c>
    </row>
    <row r="40" spans="6:20">
      <c r="P40" s="151" t="s">
        <v>876</v>
      </c>
      <c r="T40" t="s">
        <v>173</v>
      </c>
    </row>
    <row r="41" spans="6:20">
      <c r="P41" s="151" t="s">
        <v>878</v>
      </c>
      <c r="T41" t="s">
        <v>176</v>
      </c>
    </row>
    <row r="42" spans="6:20">
      <c r="P42" s="151" t="s">
        <v>880</v>
      </c>
      <c r="T42" t="s">
        <v>179</v>
      </c>
    </row>
    <row r="43" spans="6:20">
      <c r="P43" s="151" t="s">
        <v>882</v>
      </c>
      <c r="T43" s="330" t="s">
        <v>181</v>
      </c>
    </row>
    <row r="44" spans="6:20">
      <c r="P44" s="151" t="s">
        <v>884</v>
      </c>
      <c r="T44" s="330" t="s">
        <v>183</v>
      </c>
    </row>
    <row r="45" spans="6:20">
      <c r="P45" s="151" t="s">
        <v>886</v>
      </c>
      <c r="T45" s="330" t="s">
        <v>185</v>
      </c>
    </row>
    <row r="46" spans="6:20">
      <c r="P46" s="151" t="s">
        <v>888</v>
      </c>
      <c r="T46" s="330" t="s">
        <v>187</v>
      </c>
    </row>
    <row r="47" spans="6:20">
      <c r="P47" s="151" t="s">
        <v>890</v>
      </c>
      <c r="T47" s="331" t="s">
        <v>189</v>
      </c>
    </row>
    <row r="48" spans="6:20">
      <c r="P48" s="151" t="s">
        <v>892</v>
      </c>
      <c r="T48" s="330" t="s">
        <v>191</v>
      </c>
    </row>
    <row r="49" spans="16:20">
      <c r="P49" s="151" t="s">
        <v>894</v>
      </c>
      <c r="T49" t="s">
        <v>193</v>
      </c>
    </row>
    <row r="50" spans="16:20">
      <c r="P50" s="151" t="s">
        <v>896</v>
      </c>
      <c r="T50" t="s">
        <v>195</v>
      </c>
    </row>
    <row r="51" spans="16:20">
      <c r="P51" s="151" t="s">
        <v>898</v>
      </c>
      <c r="T51" t="s">
        <v>197</v>
      </c>
    </row>
    <row r="52" spans="16:20">
      <c r="P52" s="151" t="s">
        <v>900</v>
      </c>
      <c r="T52" t="s">
        <v>199</v>
      </c>
    </row>
    <row r="53" spans="16:20">
      <c r="P53" s="151" t="s">
        <v>138</v>
      </c>
      <c r="T53" t="s">
        <v>201</v>
      </c>
    </row>
    <row r="54" spans="16:20">
      <c r="P54" s="151" t="s">
        <v>903</v>
      </c>
      <c r="T54" t="s">
        <v>203</v>
      </c>
    </row>
    <row r="55" spans="16:20">
      <c r="P55" s="151" t="s">
        <v>754</v>
      </c>
      <c r="T55" t="s">
        <v>205</v>
      </c>
    </row>
    <row r="56" spans="16:20">
      <c r="P56" s="151" t="s">
        <v>908</v>
      </c>
      <c r="T56" t="s">
        <v>207</v>
      </c>
    </row>
    <row r="57" spans="16:20">
      <c r="P57" s="151" t="s">
        <v>911</v>
      </c>
      <c r="T57" t="s">
        <v>209</v>
      </c>
    </row>
    <row r="58" spans="16:20">
      <c r="P58" s="151" t="s">
        <v>914</v>
      </c>
      <c r="T58" t="s">
        <v>211</v>
      </c>
    </row>
    <row r="59" spans="16:20">
      <c r="P59" s="151" t="s">
        <v>917</v>
      </c>
      <c r="T59" t="s">
        <v>213</v>
      </c>
    </row>
    <row r="60" spans="16:20">
      <c r="P60" s="151" t="s">
        <v>920</v>
      </c>
      <c r="T60" t="s">
        <v>215</v>
      </c>
    </row>
    <row r="61" spans="16:20">
      <c r="P61" s="151" t="s">
        <v>922</v>
      </c>
      <c r="T61" t="s">
        <v>217</v>
      </c>
    </row>
    <row r="62" spans="16:20">
      <c r="T62" t="s">
        <v>219</v>
      </c>
    </row>
    <row r="63" spans="16:20">
      <c r="T63" t="s">
        <v>220</v>
      </c>
    </row>
    <row r="64" spans="16:20">
      <c r="T64" t="s">
        <v>221</v>
      </c>
    </row>
    <row r="65" spans="20:20">
      <c r="T65" t="s">
        <v>222</v>
      </c>
    </row>
    <row r="66" spans="20:20">
      <c r="T66" t="s">
        <v>223</v>
      </c>
    </row>
    <row r="67" spans="20:20">
      <c r="T67" t="s">
        <v>224</v>
      </c>
    </row>
    <row r="68" spans="20:20">
      <c r="T68" t="s">
        <v>225</v>
      </c>
    </row>
    <row r="69" spans="20:20">
      <c r="T69" t="s">
        <v>226</v>
      </c>
    </row>
    <row r="70" spans="20:20">
      <c r="T70" t="s">
        <v>227</v>
      </c>
    </row>
    <row r="71" spans="20:20">
      <c r="T71" t="s">
        <v>228</v>
      </c>
    </row>
    <row r="72" spans="20:20">
      <c r="T72" t="s">
        <v>229</v>
      </c>
    </row>
    <row r="73" spans="20:20">
      <c r="T73" t="s">
        <v>230</v>
      </c>
    </row>
    <row r="74" spans="20:20">
      <c r="T74" t="s">
        <v>231</v>
      </c>
    </row>
    <row r="75" spans="20:20">
      <c r="T75" t="s">
        <v>232</v>
      </c>
    </row>
    <row r="76" spans="20:20">
      <c r="T76" t="s">
        <v>233</v>
      </c>
    </row>
    <row r="77" spans="20:20">
      <c r="T77" t="s">
        <v>234</v>
      </c>
    </row>
    <row r="78" spans="20:20">
      <c r="T78" t="s">
        <v>235</v>
      </c>
    </row>
    <row r="79" spans="20:20">
      <c r="T79" t="s">
        <v>236</v>
      </c>
    </row>
    <row r="80" spans="20:20">
      <c r="T80" t="s">
        <v>237</v>
      </c>
    </row>
    <row r="81" spans="20:20">
      <c r="T81" t="s">
        <v>238</v>
      </c>
    </row>
    <row r="82" spans="20:20">
      <c r="T82" t="s">
        <v>239</v>
      </c>
    </row>
    <row r="83" spans="20:20">
      <c r="T83" t="s">
        <v>240</v>
      </c>
    </row>
    <row r="84" spans="20:20">
      <c r="T84" t="s">
        <v>241</v>
      </c>
    </row>
    <row r="85" spans="20:20">
      <c r="T85" t="s">
        <v>242</v>
      </c>
    </row>
    <row r="86" spans="20:20">
      <c r="T86" t="s">
        <v>243</v>
      </c>
    </row>
    <row r="87" spans="20:20">
      <c r="T87" t="s">
        <v>244</v>
      </c>
    </row>
    <row r="88" spans="20:20">
      <c r="T88" t="s">
        <v>245</v>
      </c>
    </row>
    <row r="89" spans="20:20">
      <c r="T89" t="s">
        <v>246</v>
      </c>
    </row>
    <row r="90" spans="20:20">
      <c r="T90" t="s">
        <v>247</v>
      </c>
    </row>
    <row r="91" spans="20:20">
      <c r="T91" t="s">
        <v>248</v>
      </c>
    </row>
    <row r="92" spans="20:20">
      <c r="T92" t="s">
        <v>249</v>
      </c>
    </row>
    <row r="93" spans="20:20">
      <c r="T93" t="s">
        <v>250</v>
      </c>
    </row>
    <row r="94" spans="20:20">
      <c r="T94" t="s">
        <v>251</v>
      </c>
    </row>
    <row r="95" spans="20:20">
      <c r="T95" t="s">
        <v>252</v>
      </c>
    </row>
    <row r="96" spans="20:20">
      <c r="T96" t="s">
        <v>253</v>
      </c>
    </row>
    <row r="97" spans="20:20">
      <c r="T97" t="s">
        <v>254</v>
      </c>
    </row>
    <row r="98" spans="20:20">
      <c r="T98" t="s">
        <v>255</v>
      </c>
    </row>
    <row r="99" spans="20:20">
      <c r="T99" t="s">
        <v>256</v>
      </c>
    </row>
    <row r="100" spans="20:20">
      <c r="T100" t="s">
        <v>257</v>
      </c>
    </row>
    <row r="101" spans="20:20">
      <c r="T101" t="s">
        <v>258</v>
      </c>
    </row>
    <row r="102" spans="20:20">
      <c r="T102" t="s">
        <v>259</v>
      </c>
    </row>
    <row r="103" spans="20:20">
      <c r="T103" t="s">
        <v>260</v>
      </c>
    </row>
    <row r="104" spans="20:20">
      <c r="T104" t="s">
        <v>261</v>
      </c>
    </row>
    <row r="105" spans="20:20">
      <c r="T105" t="s">
        <v>262</v>
      </c>
    </row>
    <row r="106" spans="20:20">
      <c r="T106" t="s">
        <v>263</v>
      </c>
    </row>
    <row r="107" spans="20:20">
      <c r="T107" t="s">
        <v>264</v>
      </c>
    </row>
    <row r="108" spans="20:20">
      <c r="T108" t="s">
        <v>265</v>
      </c>
    </row>
    <row r="109" spans="20:20">
      <c r="T109" t="s">
        <v>266</v>
      </c>
    </row>
    <row r="110" spans="20:20">
      <c r="T110" t="s">
        <v>267</v>
      </c>
    </row>
    <row r="111" spans="20:20">
      <c r="T111" t="s">
        <v>268</v>
      </c>
    </row>
    <row r="112" spans="20:20">
      <c r="T112" t="s">
        <v>269</v>
      </c>
    </row>
    <row r="113" spans="20:20">
      <c r="T113" t="s">
        <v>270</v>
      </c>
    </row>
    <row r="114" spans="20:20">
      <c r="T114" t="s">
        <v>271</v>
      </c>
    </row>
    <row r="115" spans="20:20">
      <c r="T115" t="s">
        <v>272</v>
      </c>
    </row>
    <row r="116" spans="20:20">
      <c r="T116" t="s">
        <v>273</v>
      </c>
    </row>
    <row r="117" spans="20:20">
      <c r="T117" t="s">
        <v>274</v>
      </c>
    </row>
    <row r="118" spans="20:20">
      <c r="T118" t="s">
        <v>275</v>
      </c>
    </row>
    <row r="119" spans="20:20">
      <c r="T119" t="s">
        <v>276</v>
      </c>
    </row>
    <row r="120" spans="20:20">
      <c r="T120" t="s">
        <v>277</v>
      </c>
    </row>
    <row r="121" spans="20:20">
      <c r="T121" t="s">
        <v>278</v>
      </c>
    </row>
    <row r="122" spans="20:20">
      <c r="T122" t="s">
        <v>279</v>
      </c>
    </row>
    <row r="123" spans="20:20">
      <c r="T123" t="s">
        <v>280</v>
      </c>
    </row>
    <row r="124" spans="20:20">
      <c r="T124" t="s">
        <v>281</v>
      </c>
    </row>
    <row r="125" spans="20:20">
      <c r="T125" t="s">
        <v>282</v>
      </c>
    </row>
    <row r="126" spans="20:20">
      <c r="T126" t="s">
        <v>283</v>
      </c>
    </row>
    <row r="127" spans="20:20">
      <c r="T127" t="s">
        <v>284</v>
      </c>
    </row>
    <row r="128" spans="20:20">
      <c r="T128" t="s">
        <v>285</v>
      </c>
    </row>
    <row r="129" spans="20:20">
      <c r="T129" t="s">
        <v>286</v>
      </c>
    </row>
    <row r="130" spans="20:20">
      <c r="T130" t="s">
        <v>287</v>
      </c>
    </row>
    <row r="131" spans="20:20">
      <c r="T131" t="s">
        <v>288</v>
      </c>
    </row>
    <row r="132" spans="20:20">
      <c r="T132" t="s">
        <v>289</v>
      </c>
    </row>
    <row r="133" spans="20:20">
      <c r="T133" t="s">
        <v>290</v>
      </c>
    </row>
    <row r="134" spans="20:20">
      <c r="T134" t="s">
        <v>291</v>
      </c>
    </row>
    <row r="135" spans="20:20">
      <c r="T135" t="s">
        <v>292</v>
      </c>
    </row>
    <row r="136" spans="20:20">
      <c r="T136" t="s">
        <v>293</v>
      </c>
    </row>
    <row r="137" spans="20:20">
      <c r="T137" t="s">
        <v>294</v>
      </c>
    </row>
    <row r="138" spans="20:20">
      <c r="T138" t="s">
        <v>295</v>
      </c>
    </row>
    <row r="139" spans="20:20">
      <c r="T139" t="s">
        <v>296</v>
      </c>
    </row>
    <row r="140" spans="20:20">
      <c r="T140" t="s">
        <v>297</v>
      </c>
    </row>
    <row r="141" spans="20:20">
      <c r="T141" t="s">
        <v>298</v>
      </c>
    </row>
    <row r="142" spans="20:20">
      <c r="T142" t="s">
        <v>299</v>
      </c>
    </row>
    <row r="143" spans="20:20">
      <c r="T143" t="s">
        <v>300</v>
      </c>
    </row>
    <row r="144" spans="20:20">
      <c r="T144" t="s">
        <v>301</v>
      </c>
    </row>
    <row r="145" spans="20:20">
      <c r="T145" t="s">
        <v>302</v>
      </c>
    </row>
    <row r="146" spans="20:20">
      <c r="T146" t="s">
        <v>303</v>
      </c>
    </row>
    <row r="147" spans="20:20">
      <c r="T147" t="s">
        <v>304</v>
      </c>
    </row>
    <row r="148" spans="20:20">
      <c r="T148" t="s">
        <v>305</v>
      </c>
    </row>
    <row r="149" spans="20:20">
      <c r="T149" t="s">
        <v>306</v>
      </c>
    </row>
    <row r="150" spans="20:20">
      <c r="T150" t="s">
        <v>307</v>
      </c>
    </row>
    <row r="151" spans="20:20">
      <c r="T151" t="s">
        <v>308</v>
      </c>
    </row>
    <row r="152" spans="20:20">
      <c r="T152" t="s">
        <v>309</v>
      </c>
    </row>
    <row r="153" spans="20:20">
      <c r="T153" t="s">
        <v>310</v>
      </c>
    </row>
    <row r="154" spans="20:20">
      <c r="T154" t="s">
        <v>311</v>
      </c>
    </row>
    <row r="155" spans="20:20">
      <c r="T155" t="s">
        <v>312</v>
      </c>
    </row>
    <row r="156" spans="20:20">
      <c r="T156" t="s">
        <v>313</v>
      </c>
    </row>
    <row r="157" spans="20:20">
      <c r="T157" t="s">
        <v>314</v>
      </c>
    </row>
    <row r="158" spans="20:20">
      <c r="T158" t="s">
        <v>315</v>
      </c>
    </row>
    <row r="159" spans="20:20">
      <c r="T159" t="s">
        <v>316</v>
      </c>
    </row>
    <row r="160" spans="20:20">
      <c r="T160" t="s">
        <v>317</v>
      </c>
    </row>
    <row r="161" spans="20:20">
      <c r="T161" t="s">
        <v>318</v>
      </c>
    </row>
    <row r="162" spans="20:20">
      <c r="T162" t="s">
        <v>319</v>
      </c>
    </row>
    <row r="163" spans="20:20">
      <c r="T163" t="s">
        <v>320</v>
      </c>
    </row>
    <row r="164" spans="20:20">
      <c r="T164" t="s">
        <v>321</v>
      </c>
    </row>
    <row r="165" spans="20:20">
      <c r="T165" t="s">
        <v>322</v>
      </c>
    </row>
    <row r="166" spans="20:20">
      <c r="T166" t="s">
        <v>323</v>
      </c>
    </row>
    <row r="167" spans="20:20">
      <c r="T167" t="s">
        <v>324</v>
      </c>
    </row>
    <row r="168" spans="20:20">
      <c r="T168" t="s">
        <v>325</v>
      </c>
    </row>
    <row r="169" spans="20:20">
      <c r="T169" t="s">
        <v>326</v>
      </c>
    </row>
    <row r="170" spans="20:20">
      <c r="T170" t="s">
        <v>327</v>
      </c>
    </row>
    <row r="171" spans="20:20">
      <c r="T171" t="s">
        <v>328</v>
      </c>
    </row>
    <row r="172" spans="20:20">
      <c r="T172" t="s">
        <v>329</v>
      </c>
    </row>
    <row r="173" spans="20:20">
      <c r="T173" t="s">
        <v>330</v>
      </c>
    </row>
    <row r="174" spans="20:20">
      <c r="T174" t="s">
        <v>331</v>
      </c>
    </row>
    <row r="175" spans="20:20">
      <c r="T175" t="s">
        <v>332</v>
      </c>
    </row>
    <row r="176" spans="20:20">
      <c r="T176" t="s">
        <v>333</v>
      </c>
    </row>
    <row r="177" spans="20:20">
      <c r="T177" t="s">
        <v>334</v>
      </c>
    </row>
    <row r="178" spans="20:20">
      <c r="T178" t="s">
        <v>335</v>
      </c>
    </row>
    <row r="179" spans="20:20">
      <c r="T179" t="s">
        <v>336</v>
      </c>
    </row>
    <row r="180" spans="20:20">
      <c r="T180" t="s">
        <v>337</v>
      </c>
    </row>
    <row r="181" spans="20:20">
      <c r="T181" t="s">
        <v>338</v>
      </c>
    </row>
    <row r="182" spans="20:20">
      <c r="T182" t="s">
        <v>339</v>
      </c>
    </row>
    <row r="183" spans="20:20">
      <c r="T183" t="s">
        <v>340</v>
      </c>
    </row>
    <row r="184" spans="20:20">
      <c r="T184" t="s">
        <v>341</v>
      </c>
    </row>
    <row r="185" spans="20:20">
      <c r="T185" t="s">
        <v>342</v>
      </c>
    </row>
    <row r="186" spans="20:20">
      <c r="T186" t="s">
        <v>343</v>
      </c>
    </row>
    <row r="187" spans="20:20">
      <c r="T187" t="s">
        <v>344</v>
      </c>
    </row>
    <row r="188" spans="20:20">
      <c r="T188" t="s">
        <v>345</v>
      </c>
    </row>
    <row r="189" spans="20:20">
      <c r="T189" t="s">
        <v>346</v>
      </c>
    </row>
    <row r="190" spans="20:20">
      <c r="T190" t="s">
        <v>347</v>
      </c>
    </row>
    <row r="191" spans="20:20">
      <c r="T191" t="s">
        <v>348</v>
      </c>
    </row>
    <row r="192" spans="20:20">
      <c r="T192" t="s">
        <v>349</v>
      </c>
    </row>
    <row r="193" spans="20:20">
      <c r="T193" t="s">
        <v>350</v>
      </c>
    </row>
    <row r="194" spans="20:20">
      <c r="T194" t="s">
        <v>351</v>
      </c>
    </row>
    <row r="195" spans="20:20">
      <c r="T195" t="s">
        <v>352</v>
      </c>
    </row>
    <row r="196" spans="20:20">
      <c r="T196" t="s">
        <v>353</v>
      </c>
    </row>
    <row r="197" spans="20:20">
      <c r="T197" t="s">
        <v>354</v>
      </c>
    </row>
    <row r="198" spans="20:20">
      <c r="T198" t="s">
        <v>355</v>
      </c>
    </row>
    <row r="199" spans="20:20">
      <c r="T199" t="s">
        <v>356</v>
      </c>
    </row>
    <row r="200" spans="20:20">
      <c r="T200" t="s">
        <v>357</v>
      </c>
    </row>
    <row r="201" spans="20:20">
      <c r="T201" t="s">
        <v>358</v>
      </c>
    </row>
    <row r="202" spans="20:20">
      <c r="T202" t="s">
        <v>359</v>
      </c>
    </row>
    <row r="203" spans="20:20">
      <c r="T203" t="s">
        <v>360</v>
      </c>
    </row>
    <row r="204" spans="20:20">
      <c r="T204" t="s">
        <v>361</v>
      </c>
    </row>
    <row r="205" spans="20:20">
      <c r="T205" t="s">
        <v>362</v>
      </c>
    </row>
    <row r="206" spans="20:20">
      <c r="T206" t="s">
        <v>363</v>
      </c>
    </row>
    <row r="207" spans="20:20">
      <c r="T207" t="s">
        <v>364</v>
      </c>
    </row>
    <row r="208" spans="20:20">
      <c r="T208" t="s">
        <v>365</v>
      </c>
    </row>
    <row r="209" spans="20:20">
      <c r="T209" t="s">
        <v>366</v>
      </c>
    </row>
    <row r="210" spans="20:20">
      <c r="T210" t="s">
        <v>367</v>
      </c>
    </row>
    <row r="211" spans="20:20">
      <c r="T211" t="s">
        <v>368</v>
      </c>
    </row>
    <row r="212" spans="20:20">
      <c r="T212" t="s">
        <v>369</v>
      </c>
    </row>
    <row r="213" spans="20:20">
      <c r="T213" t="s">
        <v>370</v>
      </c>
    </row>
    <row r="214" spans="20:20">
      <c r="T214" t="s">
        <v>115</v>
      </c>
    </row>
    <row r="215" spans="20:20">
      <c r="T215" t="s">
        <v>119</v>
      </c>
    </row>
    <row r="216" spans="20:20">
      <c r="T216" t="s">
        <v>123</v>
      </c>
    </row>
    <row r="217" spans="20:20">
      <c r="T217" t="s">
        <v>127</v>
      </c>
    </row>
    <row r="218" spans="20:20">
      <c r="T218" t="s">
        <v>131</v>
      </c>
    </row>
    <row r="219" spans="20:20">
      <c r="T219" t="s">
        <v>133</v>
      </c>
    </row>
    <row r="220" spans="20:20">
      <c r="T220" t="s">
        <v>136</v>
      </c>
    </row>
    <row r="221" spans="20:20">
      <c r="T221" t="s">
        <v>139</v>
      </c>
    </row>
    <row r="222" spans="20:20">
      <c r="T222" t="s">
        <v>142</v>
      </c>
    </row>
    <row r="223" spans="20:20">
      <c r="T223" t="s">
        <v>145</v>
      </c>
    </row>
    <row r="224" spans="20:20">
      <c r="T224" t="s">
        <v>148</v>
      </c>
    </row>
    <row r="225" spans="20:20">
      <c r="T225" t="s">
        <v>151</v>
      </c>
    </row>
    <row r="226" spans="20:20">
      <c r="T226" t="s">
        <v>154</v>
      </c>
    </row>
    <row r="227" spans="20:20">
      <c r="T227" t="s">
        <v>157</v>
      </c>
    </row>
    <row r="228" spans="20:20">
      <c r="T228" t="s">
        <v>160</v>
      </c>
    </row>
    <row r="229" spans="20:20">
      <c r="T229" t="s">
        <v>163</v>
      </c>
    </row>
    <row r="230" spans="20:20">
      <c r="T230" t="s">
        <v>166</v>
      </c>
    </row>
    <row r="231" spans="20:20">
      <c r="T231" t="s">
        <v>169</v>
      </c>
    </row>
    <row r="232" spans="20:20">
      <c r="T232" t="s">
        <v>172</v>
      </c>
    </row>
    <row r="233" spans="20:20">
      <c r="T233" t="s">
        <v>175</v>
      </c>
    </row>
    <row r="234" spans="20:20">
      <c r="T234" t="s">
        <v>178</v>
      </c>
    </row>
    <row r="235" spans="20:20">
      <c r="T235" t="s">
        <v>180</v>
      </c>
    </row>
    <row r="236" spans="20:20">
      <c r="T236" t="s">
        <v>182</v>
      </c>
    </row>
    <row r="237" spans="20:20">
      <c r="T237" t="s">
        <v>184</v>
      </c>
    </row>
    <row r="238" spans="20:20">
      <c r="T238" t="s">
        <v>186</v>
      </c>
    </row>
    <row r="239" spans="20:20">
      <c r="T239" t="s">
        <v>188</v>
      </c>
    </row>
    <row r="240" spans="20:20">
      <c r="T240" t="s">
        <v>190</v>
      </c>
    </row>
    <row r="241" spans="20:20">
      <c r="T241" t="s">
        <v>192</v>
      </c>
    </row>
    <row r="242" spans="20:20">
      <c r="T242" t="s">
        <v>194</v>
      </c>
    </row>
    <row r="243" spans="20:20">
      <c r="T243" t="s">
        <v>196</v>
      </c>
    </row>
    <row r="244" spans="20:20">
      <c r="T244" t="s">
        <v>198</v>
      </c>
    </row>
    <row r="245" spans="20:20">
      <c r="T245" t="s">
        <v>200</v>
      </c>
    </row>
    <row r="246" spans="20:20">
      <c r="T246" t="s">
        <v>202</v>
      </c>
    </row>
    <row r="247" spans="20:20">
      <c r="T247" t="s">
        <v>204</v>
      </c>
    </row>
    <row r="248" spans="20:20">
      <c r="T248" t="s">
        <v>206</v>
      </c>
    </row>
    <row r="249" spans="20:20">
      <c r="T249" t="s">
        <v>208</v>
      </c>
    </row>
    <row r="250" spans="20:20">
      <c r="T250" t="s">
        <v>210</v>
      </c>
    </row>
    <row r="251" spans="20:20">
      <c r="T251" t="s">
        <v>212</v>
      </c>
    </row>
    <row r="252" spans="20:20">
      <c r="T252" t="s">
        <v>214</v>
      </c>
    </row>
    <row r="253" spans="20:20">
      <c r="T253" t="s">
        <v>216</v>
      </c>
    </row>
    <row r="254" spans="20:20">
      <c r="T254" t="s">
        <v>218</v>
      </c>
    </row>
    <row r="255" spans="20:20">
      <c r="T255" t="s">
        <v>118</v>
      </c>
    </row>
    <row r="256" spans="20:20">
      <c r="T256" t="s">
        <v>122</v>
      </c>
    </row>
    <row r="257" spans="20:20">
      <c r="T257" t="s">
        <v>126</v>
      </c>
    </row>
    <row r="258" spans="20:20">
      <c r="T258" t="s">
        <v>130</v>
      </c>
    </row>
  </sheetData>
  <mergeCells count="27">
    <mergeCell ref="I2:K2"/>
    <mergeCell ref="I3:K3"/>
    <mergeCell ref="I4:K4"/>
    <mergeCell ref="I5:K5"/>
    <mergeCell ref="I6:K6"/>
    <mergeCell ref="I18:K18"/>
    <mergeCell ref="I7:K7"/>
    <mergeCell ref="I8:K8"/>
    <mergeCell ref="I9:K9"/>
    <mergeCell ref="I10:K10"/>
    <mergeCell ref="I11:K11"/>
    <mergeCell ref="I12:K12"/>
    <mergeCell ref="I13:K13"/>
    <mergeCell ref="I14:K14"/>
    <mergeCell ref="I15:K15"/>
    <mergeCell ref="I16:K16"/>
    <mergeCell ref="I17:K17"/>
    <mergeCell ref="I25:K25"/>
    <mergeCell ref="I26:K26"/>
    <mergeCell ref="I27:K27"/>
    <mergeCell ref="I28:K28"/>
    <mergeCell ref="I19:K19"/>
    <mergeCell ref="I20:K20"/>
    <mergeCell ref="I21:K21"/>
    <mergeCell ref="I22:K22"/>
    <mergeCell ref="I23:K23"/>
    <mergeCell ref="I24:K24"/>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43068294DB819F4689DDF9A7BA5A0726" ma:contentTypeVersion="14" ma:contentTypeDescription="Ein neues Dokument erstellen." ma:contentTypeScope="" ma:versionID="e462458c0fb060ca89a351ad56bc5f67">
  <xsd:schema xmlns:xsd="http://www.w3.org/2001/XMLSchema" xmlns:xs="http://www.w3.org/2001/XMLSchema" xmlns:p="http://schemas.microsoft.com/office/2006/metadata/properties" xmlns:ns2="a74a6d9b-521d-4507-a320-b4932e7060a0" xmlns:ns3="e2174611-8e68-43ed-9448-0cd6ec7f17dd" targetNamespace="http://schemas.microsoft.com/office/2006/metadata/properties" ma:root="true" ma:fieldsID="23b37c250fc32003972f0ba59deb8564" ns2:_="" ns3:_="">
    <xsd:import namespace="a74a6d9b-521d-4507-a320-b4932e7060a0"/>
    <xsd:import namespace="e2174611-8e68-43ed-9448-0cd6ec7f17dd"/>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4a6d9b-521d-4507-a320-b4932e7060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Bildmarkierungen" ma:readOnly="false" ma:fieldId="{5cf76f15-5ced-4ddc-b409-7134ff3c332f}" ma:taxonomyMulti="true" ma:sspId="6eb20c4f-c5c2-492b-9954-d638c64bfe97"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2174611-8e68-43ed-9448-0cd6ec7f17d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59f35776-2a25-4625-85d5-7edd429d544c}" ma:internalName="TaxCatchAll" ma:showField="CatchAllData" ma:web="e2174611-8e68-43ed-9448-0cd6ec7f17dd">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2174611-8e68-43ed-9448-0cd6ec7f17dd" xsi:nil="true"/>
    <lcf76f155ced4ddcb4097134ff3c332f xmlns="a74a6d9b-521d-4507-a320-b4932e7060a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E38420-FD85-4F36-9C73-2129C463F1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4a6d9b-521d-4507-a320-b4932e7060a0"/>
    <ds:schemaRef ds:uri="e2174611-8e68-43ed-9448-0cd6ec7f17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04E2434-F2BA-453B-B841-EDB813572A70}">
  <ds:schemaRefs>
    <ds:schemaRef ds:uri="http://schemas.microsoft.com/office/2006/metadata/properties"/>
    <ds:schemaRef ds:uri="http://schemas.microsoft.com/office/infopath/2007/PartnerControls"/>
    <ds:schemaRef ds:uri="e2174611-8e68-43ed-9448-0cd6ec7f17dd"/>
    <ds:schemaRef ds:uri="a74a6d9b-521d-4507-a320-b4932e7060a0"/>
  </ds:schemaRefs>
</ds:datastoreItem>
</file>

<file path=customXml/itemProps3.xml><?xml version="1.0" encoding="utf-8"?>
<ds:datastoreItem xmlns:ds="http://schemas.openxmlformats.org/officeDocument/2006/customXml" ds:itemID="{FF8156CC-C436-4B85-BA62-079E0DE1B8E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Introduction</vt:lpstr>
      <vt:lpstr>General Information</vt:lpstr>
      <vt:lpstr>Company owned Transport</vt:lpstr>
      <vt:lpstr>External Transportation</vt:lpstr>
      <vt:lpstr>Business Travel</vt:lpstr>
      <vt:lpstr>Stationary Combustion</vt:lpstr>
      <vt:lpstr>Purchased Gases &amp; Refrigerants</vt:lpstr>
      <vt:lpstr>Raw Material Usage</vt:lpstr>
      <vt:lpstr>Help - Raw Materials</vt:lpstr>
      <vt:lpstr>Waste Disposal</vt:lpstr>
      <vt:lpstr>Results</vt:lpstr>
      <vt:lpstr>Unit Conversions</vt:lpstr>
      <vt:lpstr>Further Information</vt:lpstr>
      <vt:lpstr>Raw Material Calculation</vt:lpstr>
      <vt:lpstr>Data</vt:lpstr>
      <vt:lpstr>Drop Down</vt:lpstr>
      <vt:lpstr>kg_per_lb</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Kristan, Roman</dc:creator>
  <cp:keywords/>
  <dc:description/>
  <cp:lastModifiedBy>Valgard Gudni Oddsson</cp:lastModifiedBy>
  <cp:revision/>
  <dcterms:created xsi:type="dcterms:W3CDTF">2023-11-15T14:09:34Z</dcterms:created>
  <dcterms:modified xsi:type="dcterms:W3CDTF">2024-01-23T21:20:19Z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0x01010043068294DB819F4689DDF9A7BA5A0726</vt:lpwstr>
  </property>
  <property fmtid="{D5CDD505-2E9C-101B-9397-08002B2CF9AE}" pid="3" name="MediaServiceImageTags">
    <vt:lpwstr/>
  </property>
</Properties>
</file>